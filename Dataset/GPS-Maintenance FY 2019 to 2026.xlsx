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498B51-03BE-450C-8EB3-634E7B30366D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Monthwise maintenance" sheetId="12" r:id="rId1"/>
    <sheet name="Total List" sheetId="10" r:id="rId2"/>
    <sheet name="Sheet1" sheetId="11" r:id="rId3"/>
  </sheets>
  <definedNames>
    <definedName name="_xlnm._FilterDatabase" localSheetId="0" hidden="1">'Monthwise maintenance'!$A$7:$DN$7</definedName>
    <definedName name="_xlnm._FilterDatabase" localSheetId="1" hidden="1">'Total List'!$A$1:$G$75</definedName>
    <definedName name="_xlnm.Print_Area" localSheetId="0">'Monthwise maintenance'!$A$1:$DH$87</definedName>
  </definedNames>
  <calcPr calcId="191029"/>
</workbook>
</file>

<file path=xl/calcChain.xml><?xml version="1.0" encoding="utf-8"?>
<calcChain xmlns="http://schemas.openxmlformats.org/spreadsheetml/2006/main">
  <c r="DD84" i="12" l="1"/>
  <c r="CQ84" i="12"/>
  <c r="DH85" i="12" l="1"/>
  <c r="DH84" i="12"/>
  <c r="DH83" i="12"/>
  <c r="DH82" i="12"/>
  <c r="DH81" i="12"/>
  <c r="DH80" i="12"/>
  <c r="DH79" i="12"/>
  <c r="DH78" i="12"/>
  <c r="DH77" i="12"/>
  <c r="DH76" i="12"/>
  <c r="DH75" i="12"/>
  <c r="DH74" i="12"/>
  <c r="DH73" i="12"/>
  <c r="DH72" i="12"/>
  <c r="DH71" i="12"/>
  <c r="DH70" i="12"/>
  <c r="DH68" i="12"/>
  <c r="DH67" i="12"/>
  <c r="DH66" i="12"/>
  <c r="DH65" i="12"/>
  <c r="DH64" i="12"/>
  <c r="DH63" i="12"/>
  <c r="DH62" i="12"/>
  <c r="DH61" i="12"/>
  <c r="DH60" i="12"/>
  <c r="DH59" i="12"/>
  <c r="DH58" i="12"/>
  <c r="DH57" i="12"/>
  <c r="DH56" i="12"/>
  <c r="DH55" i="12"/>
  <c r="DH54" i="12"/>
  <c r="DH53" i="12"/>
  <c r="DH51" i="12"/>
  <c r="DH50" i="12"/>
  <c r="DH49" i="12"/>
  <c r="DH48" i="12"/>
  <c r="DH47" i="12"/>
  <c r="DH46" i="12"/>
  <c r="DH45" i="12"/>
  <c r="DH44" i="12"/>
  <c r="DH43" i="12"/>
  <c r="DH42" i="12"/>
  <c r="DH41" i="12"/>
  <c r="DH40" i="12"/>
  <c r="DH38" i="12"/>
  <c r="DH37" i="12"/>
  <c r="DH36" i="12"/>
  <c r="DH35" i="12"/>
  <c r="DH34" i="12"/>
  <c r="DH33" i="12"/>
  <c r="DH32" i="12"/>
  <c r="DH31" i="12"/>
  <c r="DH30" i="12"/>
  <c r="DH29" i="12"/>
  <c r="DH28" i="12"/>
  <c r="DH27" i="12"/>
  <c r="DH25" i="12"/>
  <c r="DH24" i="12"/>
  <c r="DH23" i="12"/>
  <c r="DH22" i="12"/>
  <c r="DH21" i="12"/>
  <c r="DH20" i="12"/>
  <c r="DH19" i="12"/>
  <c r="DH18" i="12"/>
  <c r="DH17" i="12"/>
  <c r="DH16" i="12"/>
  <c r="DH15" i="12"/>
  <c r="DH14" i="12"/>
  <c r="DH13" i="12"/>
  <c r="DH12" i="12"/>
  <c r="DH11" i="12"/>
  <c r="DH10" i="12"/>
  <c r="DH9" i="12"/>
  <c r="DH8" i="12"/>
  <c r="DD78" i="12"/>
  <c r="DH87" i="12" l="1"/>
  <c r="DD85" i="12"/>
  <c r="DD83" i="12"/>
  <c r="DD79" i="12"/>
  <c r="DD77" i="12"/>
  <c r="DD74" i="12"/>
  <c r="DD73" i="12"/>
  <c r="DD72" i="12"/>
  <c r="DD71" i="12"/>
  <c r="DD70" i="12"/>
  <c r="DD68" i="12"/>
  <c r="DD64" i="12"/>
  <c r="DD63" i="12"/>
  <c r="DD61" i="12"/>
  <c r="DD60" i="12"/>
  <c r="DD58" i="12"/>
  <c r="DD55" i="12"/>
  <c r="DD54" i="12"/>
  <c r="DD51" i="12"/>
  <c r="DD50" i="12"/>
  <c r="DD49" i="12"/>
  <c r="DD47" i="12"/>
  <c r="DD46" i="12"/>
  <c r="DD45" i="12"/>
  <c r="DD44" i="12"/>
  <c r="DD43" i="12"/>
  <c r="DD42" i="12"/>
  <c r="DD41" i="12"/>
  <c r="DD40" i="12"/>
  <c r="DD38" i="12"/>
  <c r="DD37" i="12"/>
  <c r="DD34" i="12"/>
  <c r="DD32" i="12"/>
  <c r="DD31" i="12"/>
  <c r="DD29" i="12"/>
  <c r="DD28" i="12"/>
  <c r="DD27" i="12"/>
  <c r="DD25" i="12"/>
  <c r="DD24" i="12"/>
  <c r="DD23" i="12"/>
  <c r="DD22" i="12"/>
  <c r="DD20" i="12"/>
  <c r="DD18" i="12"/>
  <c r="DD17" i="12"/>
  <c r="DD16" i="12"/>
  <c r="DD15" i="12"/>
  <c r="DD14" i="12"/>
  <c r="DD13" i="12"/>
  <c r="DD10" i="12"/>
  <c r="DD8" i="12"/>
  <c r="D11" i="11" l="1"/>
  <c r="CM73" i="12" l="1"/>
  <c r="CM45" i="12" l="1"/>
  <c r="CJ50" i="12"/>
  <c r="CL24" i="12" l="1"/>
  <c r="CK73" i="12"/>
  <c r="CK21" i="12"/>
  <c r="CP19" i="12"/>
  <c r="CJ17" i="12"/>
  <c r="CS11" i="12"/>
  <c r="CJ10" i="12"/>
  <c r="CP20" i="12"/>
  <c r="CN16" i="12"/>
  <c r="CK82" i="12" l="1"/>
  <c r="CJ13" i="12" l="1"/>
  <c r="CK13" i="12"/>
  <c r="DF13" i="12"/>
  <c r="CO38" i="12" l="1"/>
  <c r="CK48" i="12" l="1"/>
  <c r="CL66" i="12" l="1"/>
  <c r="CK66" i="12"/>
  <c r="DF27" i="12" l="1"/>
  <c r="DT86" i="12" l="1"/>
  <c r="DS14" i="12" l="1"/>
  <c r="CJ81" i="12"/>
  <c r="CJ76" i="12"/>
  <c r="CJ74" i="12"/>
  <c r="CJ79" i="12" l="1"/>
  <c r="DQ13" i="12" l="1"/>
  <c r="DQ14" i="12" s="1"/>
  <c r="DP10" i="12"/>
  <c r="DP11" i="12"/>
  <c r="DP12" i="12"/>
  <c r="DP13" i="12"/>
  <c r="DP14" i="12"/>
  <c r="DP15" i="12"/>
  <c r="DP17" i="12"/>
  <c r="DP18" i="12"/>
  <c r="DP19" i="12"/>
  <c r="DP20" i="12"/>
  <c r="DP21" i="12"/>
  <c r="DP23" i="12"/>
  <c r="DP24" i="12"/>
  <c r="DP25" i="12"/>
  <c r="DP30" i="12"/>
  <c r="DP32" i="12"/>
  <c r="DP33" i="12"/>
  <c r="DP35" i="12"/>
  <c r="DP36" i="12"/>
  <c r="DP37" i="12"/>
  <c r="DP38" i="12"/>
  <c r="DP40" i="12"/>
  <c r="DP44" i="12"/>
  <c r="DP45" i="12"/>
  <c r="DP46" i="12"/>
  <c r="DP47" i="12"/>
  <c r="DP48" i="12"/>
  <c r="DP49" i="12"/>
  <c r="DP50" i="12"/>
  <c r="DP53" i="12"/>
  <c r="DP56" i="12"/>
  <c r="DP58" i="12"/>
  <c r="DP59" i="12"/>
  <c r="DP60" i="12"/>
  <c r="DP62" i="12"/>
  <c r="DP65" i="12"/>
  <c r="DP66" i="12"/>
  <c r="DP67" i="12"/>
  <c r="DP71" i="12"/>
  <c r="DP72" i="12"/>
  <c r="DP75" i="12"/>
  <c r="DP76" i="12"/>
  <c r="DP80" i="12"/>
  <c r="DP81" i="12"/>
  <c r="DP85" i="12"/>
  <c r="DP9" i="12"/>
  <c r="DP8" i="12"/>
  <c r="DP86" i="12" l="1"/>
  <c r="CI27" i="12" l="1"/>
  <c r="CG46" i="12"/>
  <c r="CG63" i="12" l="1"/>
  <c r="BV68" i="12" l="1"/>
  <c r="BS13" i="12"/>
  <c r="DD87" i="12"/>
  <c r="BQ79" i="12" l="1"/>
  <c r="BL51" i="12" l="1"/>
  <c r="FN92" i="12" l="1"/>
  <c r="BI58" i="12"/>
  <c r="FN86" i="12"/>
  <c r="D9" i="11" l="1"/>
  <c r="BC20" i="12"/>
  <c r="AR87" i="12"/>
  <c r="AW87" i="12"/>
  <c r="AV87" i="12"/>
  <c r="AU87" i="12"/>
  <c r="AT87" i="12"/>
  <c r="AS87" i="12"/>
  <c r="AQ87" i="12"/>
  <c r="AP87" i="12"/>
  <c r="AO87" i="12"/>
  <c r="AN87" i="12"/>
  <c r="AM87" i="12"/>
  <c r="AL87" i="12"/>
  <c r="AK87" i="12"/>
  <c r="AJ87" i="12"/>
  <c r="AI87" i="12"/>
  <c r="AH87" i="12"/>
  <c r="AG87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F87" i="12"/>
  <c r="E87" i="12"/>
  <c r="G10" i="12"/>
  <c r="G87" i="12" s="1"/>
  <c r="D10" i="11" l="1"/>
  <c r="D1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C8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215</t>
        </r>
      </text>
    </comment>
    <comment ref="BH8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234</t>
        </r>
      </text>
    </comment>
    <comment ref="BN8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257</t>
        </r>
      </text>
    </comment>
    <comment ref="BX8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290</t>
        </r>
      </text>
    </comment>
    <comment ref="CO8" authorId="0" shapeId="0" xr:uid="{FE8DD99F-C95B-4696-B555-04782DD7CF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924</t>
        </r>
      </text>
    </comment>
    <comment ref="BR9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254</t>
        </r>
      </text>
    </comment>
    <comment ref="CD9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909</t>
        </r>
      </text>
    </comment>
    <comment ref="CJ9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915</t>
        </r>
      </text>
    </comment>
    <comment ref="CV9" authorId="0" shapeId="0" xr:uid="{7DDC08CA-7208-4A4F-8A18-2168D8533F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925</t>
        </r>
      </text>
    </comment>
    <comment ref="BC10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217</t>
        </r>
      </text>
    </comment>
    <comment ref="BG10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228</t>
        </r>
      </text>
    </comment>
    <comment ref="BI10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252</t>
        </r>
      </text>
    </comment>
    <comment ref="BK10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253</t>
        </r>
      </text>
    </comment>
    <comment ref="BM10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255</t>
        </r>
      </text>
    </comment>
    <comment ref="BP10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267</t>
        </r>
      </text>
    </comment>
    <comment ref="BQ10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272</t>
        </r>
      </text>
    </comment>
    <comment ref="BU10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276</t>
        </r>
      </text>
    </comment>
    <comment ref="BX10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286</t>
        </r>
      </text>
    </comment>
    <comment ref="CA10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481</t>
        </r>
      </text>
    </comment>
    <comment ref="CC10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914</t>
        </r>
      </text>
    </comment>
    <comment ref="CO10" authorId="0" shapeId="0" xr:uid="{284DF4E2-4CA6-4E41-AFDE-2FDA4B2C3E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927</t>
        </r>
      </text>
    </comment>
    <comment ref="BI11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No.221</t>
        </r>
      </text>
    </comment>
    <comment ref="BO11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242</t>
        </r>
      </text>
    </comment>
    <comment ref="BU11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266</t>
        </r>
      </text>
    </comment>
    <comment ref="CA11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284</t>
        </r>
      </text>
    </comment>
    <comment ref="CG11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297</t>
        </r>
      </text>
    </comment>
    <comment ref="CM11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916</t>
        </r>
      </text>
    </comment>
    <comment ref="CS11" authorId="0" shapeId="0" xr:uid="{098DAB62-14BB-48DB-8F52-51D4B736A1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929</t>
        </r>
      </text>
    </comment>
    <comment ref="AX12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205</t>
        </r>
      </text>
    </comment>
    <comment ref="BC1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212</t>
        </r>
      </text>
    </comment>
    <comment ref="BF12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227</t>
        </r>
      </text>
    </comment>
    <comment ref="BI12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236</t>
        </r>
      </text>
    </comment>
    <comment ref="BL12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246</t>
        </r>
      </text>
    </comment>
    <comment ref="BO12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258</t>
        </r>
      </text>
    </comment>
    <comment ref="BR12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264</t>
        </r>
      </text>
    </comment>
    <comment ref="BU12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274</t>
        </r>
      </text>
    </comment>
    <comment ref="BV12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279</t>
        </r>
      </text>
    </comment>
    <comment ref="BX12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285</t>
        </r>
      </text>
    </comment>
    <comment ref="CA12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294</t>
        </r>
      </text>
    </comment>
    <comment ref="CD12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902</t>
        </r>
      </text>
    </comment>
    <comment ref="CH12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917</t>
        </r>
      </text>
    </comment>
    <comment ref="CO12" authorId="0" shapeId="0" xr:uid="{6D2C0467-493B-4C12-B06B-B9457BF421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930</t>
        </r>
      </text>
    </comment>
    <comment ref="CR12" authorId="0" shapeId="0" xr:uid="{6441EBB9-AFC5-492E-9435-7512FDD5DD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942</t>
        </r>
      </text>
    </comment>
    <comment ref="AY13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3569</t>
        </r>
      </text>
    </comment>
    <comment ref="BB13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213</t>
        </r>
      </text>
    </comment>
    <comment ref="BG13" authorId="0" shapeId="0" xr:uid="{00000000-0006-0000-0000-00002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229</t>
        </r>
      </text>
    </comment>
    <comment ref="BL13" authorId="0" shapeId="0" xr:uid="{00000000-0006-0000-0000-00002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244</t>
        </r>
      </text>
    </comment>
    <comment ref="BO13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262</t>
        </r>
      </text>
    </comment>
    <comment ref="BS13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271</t>
        </r>
      </text>
    </comment>
    <comment ref="BV13" authorId="0" shapeId="0" xr:uid="{00000000-0006-0000-0000-00002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283
Receipt No. 292</t>
        </r>
      </text>
    </comment>
    <comment ref="BY13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292</t>
        </r>
      </text>
    </comment>
    <comment ref="CC13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903</t>
        </r>
      </text>
    </comment>
    <comment ref="CF13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918</t>
        </r>
      </text>
    </comment>
    <comment ref="CL13" authorId="0" shapeId="0" xr:uid="{1DEECB41-A837-4D53-A640-53E2E0D14C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921</t>
        </r>
      </text>
    </comment>
    <comment ref="CO13" authorId="0" shapeId="0" xr:uid="{052F5C0F-B0F5-4676-AABF-B670459958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931</t>
        </r>
      </text>
    </comment>
    <comment ref="CQ13" authorId="0" shapeId="0" xr:uid="{788A2ED5-8134-4AB3-A246-1FA3874236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948</t>
        </r>
      </text>
    </comment>
    <comment ref="BD14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216</t>
        </r>
      </text>
    </comment>
    <comment ref="BG14" authorId="0" shapeId="0" xr:uid="{00000000-0006-0000-0000-00003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223</t>
        </r>
      </text>
    </comment>
    <comment ref="BJ14" authorId="0" shapeId="0" xr:uid="{00000000-0006-0000-0000-00003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238</t>
        </r>
      </text>
    </comment>
    <comment ref="BM14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245</t>
        </r>
      </text>
    </comment>
    <comment ref="BP14" authorId="0" shapeId="0" xr:uid="{00000000-0006-0000-0000-00003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259</t>
        </r>
      </text>
    </comment>
    <comment ref="BT14" authorId="0" shapeId="0" xr:uid="{00000000-0006-0000-0000-00003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3574</t>
        </r>
      </text>
    </comment>
    <comment ref="BX14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277</t>
        </r>
      </text>
    </comment>
    <comment ref="CB14" authorId="0" shapeId="0" xr:uid="{00000000-0006-0000-0000-00003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475</t>
        </r>
      </text>
    </comment>
    <comment ref="CE14" authorId="0" shapeId="0" xr:uid="{00000000-0006-0000-0000-00003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299</t>
        </r>
      </text>
    </comment>
    <comment ref="CH14" authorId="0" shapeId="0" xr:uid="{00000000-0006-0000-0000-00003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910</t>
        </r>
      </text>
    </comment>
    <comment ref="CM14" authorId="0" shapeId="0" xr:uid="{00000000-0006-0000-0000-00003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920</t>
        </r>
      </text>
    </comment>
    <comment ref="AK15" authorId="0" shapeId="0" xr:uid="{00000000-0006-0000-0000-00003B000000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Receipt No. 222</t>
        </r>
        <r>
          <rPr>
            <sz val="9"/>
            <color indexed="81"/>
            <rFont val="Tahoma"/>
            <charset val="1"/>
          </rPr>
          <t xml:space="preserve">
Receipt No. 224
Balance difference amount = 200/- received</t>
        </r>
      </text>
    </comment>
    <comment ref="BF15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224</t>
        </r>
      </text>
    </comment>
    <comment ref="BL15" authorId="0" shapeId="0" xr:uid="{00000000-0006-0000-0000-00003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249</t>
        </r>
      </text>
    </comment>
    <comment ref="BR15" authorId="0" shapeId="0" xr:uid="{00000000-0006-0000-0000-00003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3571</t>
        </r>
      </text>
    </comment>
    <comment ref="BX15" authorId="0" shapeId="0" xr:uid="{00000000-0006-0000-0000-00003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293</t>
        </r>
      </text>
    </comment>
    <comment ref="CD15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904</t>
        </r>
      </text>
    </comment>
    <comment ref="CN15" authorId="0" shapeId="0" xr:uid="{FF8596AF-82C8-48F7-8A8A-1DB68DAD7F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923</t>
        </r>
      </text>
    </comment>
    <comment ref="CP15" authorId="0" shapeId="0" xr:uid="{A2A55A95-3062-48A3-8568-9CC9EE1903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946</t>
        </r>
      </text>
    </comment>
    <comment ref="BD16" authorId="0" shapeId="0" xr:uid="{00000000-0006-0000-0000-00004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218</t>
        </r>
      </text>
    </comment>
    <comment ref="BJ16" authorId="0" shapeId="0" xr:uid="{00000000-0006-0000-0000-00004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230</t>
        </r>
      </text>
    </comment>
    <comment ref="BP16" authorId="0" shapeId="0" xr:uid="{00000000-0006-0000-0000-00004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261</t>
        </r>
      </text>
    </comment>
    <comment ref="BS16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268</t>
        </r>
      </text>
    </comment>
    <comment ref="BV16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275</t>
        </r>
      </text>
    </comment>
    <comment ref="BY16" authorId="0" shapeId="0" xr:uid="{00000000-0006-0000-0000-00004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289</t>
        </r>
      </text>
    </comment>
    <comment ref="CB16" authorId="0" shapeId="0" xr:uid="{00000000-0006-0000-0000-00004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296</t>
        </r>
      </text>
    </comment>
    <comment ref="CE16" authorId="0" shapeId="0" xr:uid="{00000000-0006-0000-0000-00004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905</t>
        </r>
      </text>
    </comment>
    <comment ref="CH16" authorId="0" shapeId="0" xr:uid="{00000000-0006-0000-0000-00004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919</t>
        </r>
      </text>
    </comment>
    <comment ref="CN16" authorId="0" shapeId="0" xr:uid="{38E98EFC-3C38-4FEF-8503-7D7FE55236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932</t>
        </r>
      </text>
    </comment>
    <comment ref="CQ16" authorId="0" shapeId="0" xr:uid="{293CE385-9AEE-4544-8E16-7C72C1171E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943</t>
        </r>
      </text>
    </comment>
    <comment ref="BC17" authorId="0" shapeId="0" xr:uid="{00000000-0006-0000-0000-00004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207</t>
        </r>
      </text>
    </comment>
    <comment ref="BF17" authorId="0" shapeId="0" xr:uid="{00000000-0006-0000-0000-00004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4872</t>
        </r>
      </text>
    </comment>
    <comment ref="BI17" authorId="0" shapeId="0" xr:uid="{00000000-0006-0000-0000-00004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231</t>
        </r>
      </text>
    </comment>
    <comment ref="BL17" authorId="0" shapeId="0" xr:uid="{00000000-0006-0000-0000-00004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247</t>
        </r>
      </text>
    </comment>
    <comment ref="BO17" authorId="0" shapeId="0" xr:uid="{00000000-0006-0000-0000-00004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260</t>
        </r>
      </text>
    </comment>
    <comment ref="BR17" authorId="0" shapeId="0" xr:uid="{00000000-0006-0000-0000-00004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265</t>
        </r>
      </text>
    </comment>
    <comment ref="BU17" authorId="0" shapeId="0" xr:uid="{00000000-0006-0000-0000-00005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278</t>
        </r>
      </text>
    </comment>
    <comment ref="CD17" authorId="0" shapeId="0" xr:uid="{00000000-0006-0000-0000-00005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912</t>
        </r>
      </text>
    </comment>
    <comment ref="CJ17" authorId="0" shapeId="0" xr:uid="{4824832B-E2A7-4879-81D4-134AABCEFC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933</t>
        </r>
      </text>
    </comment>
    <comment ref="AZ18" authorId="0" shapeId="0" xr:uid="{00000000-0006-0000-0000-00005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214</t>
        </r>
      </text>
    </comment>
    <comment ref="BH18" authorId="0" shapeId="0" xr:uid="{00000000-0006-0000-0000-00005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237</t>
        </r>
      </text>
    </comment>
    <comment ref="BN18" authorId="0" shapeId="0" xr:uid="{00000000-0006-0000-0000-00005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256</t>
        </r>
      </text>
    </comment>
    <comment ref="BV18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280</t>
        </r>
      </text>
    </comment>
    <comment ref="CA18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477</t>
        </r>
      </text>
    </comment>
    <comment ref="CM18" authorId="0" shapeId="0" xr:uid="{89C08BE5-9984-4150-BDE0-519A0CEF63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934</t>
        </r>
      </text>
    </comment>
    <comment ref="BC19" authorId="0" shapeId="0" xr:uid="{00000000-0006-0000-0000-00005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3564</t>
        </r>
      </text>
    </comment>
    <comment ref="BD19" authorId="0" shapeId="0" xr:uid="{00000000-0006-0000-0000-00005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225</t>
        </r>
      </text>
    </comment>
    <comment ref="BO19" authorId="0" shapeId="0" xr:uid="{00000000-0006-0000-0000-00005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250</t>
        </r>
      </text>
    </comment>
    <comment ref="BU19" authorId="0" shapeId="0" xr:uid="{00000000-0006-0000-0000-00005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269</t>
        </r>
      </text>
    </comment>
    <comment ref="CA19" authorId="0" shapeId="0" xr:uid="{00000000-0006-0000-0000-00005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281</t>
        </r>
      </text>
    </comment>
    <comment ref="CG19" authorId="0" shapeId="0" xr:uid="{00000000-0006-0000-0000-00005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906</t>
        </r>
      </text>
    </comment>
    <comment ref="CP19" authorId="0" shapeId="0" xr:uid="{E21690D5-5338-4FC2-BA91-F842D5F2B6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935</t>
        </r>
      </text>
    </comment>
    <comment ref="CR19" authorId="0" shapeId="0" xr:uid="{5D1C9287-B63B-45ED-85A9-43127FEE31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944</t>
        </r>
      </text>
    </comment>
    <comment ref="BC20" authorId="0" shapeId="0" xr:uid="{00000000-0006-0000-0000-00005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4873
Receipt No. 243</t>
        </r>
      </text>
    </comment>
    <comment ref="BK20" authorId="0" shapeId="0" xr:uid="{00000000-0006-0000-0000-00005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243</t>
        </r>
      </text>
    </comment>
    <comment ref="BQ20" authorId="0" shapeId="0" xr:uid="{00000000-0006-0000-0000-00005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3572</t>
        </r>
      </text>
    </comment>
    <comment ref="BX20" authorId="0" shapeId="0" xr:uid="{00000000-0006-0000-0000-00006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288</t>
        </r>
      </text>
    </comment>
    <comment ref="CC20" authorId="0" shapeId="0" xr:uid="{00000000-0006-0000-0000-00006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907</t>
        </r>
      </text>
    </comment>
    <comment ref="CH20" authorId="0" shapeId="0" xr:uid="{00000000-0006-0000-0000-00006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3830</t>
        </r>
      </text>
    </comment>
    <comment ref="CP20" authorId="0" shapeId="0" xr:uid="{D1FA063A-BEE1-4619-9FCD-9D0A3520EC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936</t>
        </r>
      </text>
    </comment>
    <comment ref="W21" authorId="0" shapeId="0" xr:uid="{00000000-0006-0000-0000-00006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4057
Date :7/02/2020</t>
        </r>
      </text>
    </comment>
    <comment ref="BD21" authorId="0" shapeId="0" xr:uid="{00000000-0006-0000-0000-00006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219</t>
        </r>
      </text>
    </comment>
    <comment ref="BI21" authorId="0" shapeId="0" xr:uid="{00000000-0006-0000-0000-00006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235</t>
        </r>
      </text>
    </comment>
    <comment ref="BM21" authorId="0" shapeId="0" xr:uid="{00000000-0006-0000-0000-00006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251</t>
        </r>
      </text>
    </comment>
    <comment ref="BR21" authorId="0" shapeId="0" xr:uid="{00000000-0006-0000-0000-00006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3573</t>
        </r>
      </text>
    </comment>
    <comment ref="BX21" authorId="0" shapeId="0" xr:uid="{00000000-0006-0000-0000-00006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291</t>
        </r>
      </text>
    </comment>
    <comment ref="CE21" authorId="0" shapeId="0" xr:uid="{00000000-0006-0000-0000-00006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908</t>
        </r>
      </text>
    </comment>
    <comment ref="CP21" authorId="0" shapeId="0" xr:uid="{DB4DC493-26D4-41AA-B2F3-B83C5D8A2E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937</t>
        </r>
      </text>
    </comment>
    <comment ref="DB21" authorId="0" shapeId="0" xr:uid="{BABE4B64-1F65-4B19-A1B1-8EC9F41139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947</t>
        </r>
      </text>
    </comment>
    <comment ref="BB22" authorId="0" shapeId="0" xr:uid="{00000000-0006-0000-0000-00006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3567</t>
        </r>
      </text>
    </comment>
    <comment ref="BG22" authorId="0" shapeId="0" xr:uid="{00000000-0006-0000-0000-00006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233</t>
        </r>
      </text>
    </comment>
    <comment ref="BO22" authorId="0" shapeId="0" xr:uid="{00000000-0006-0000-0000-00006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263</t>
        </r>
      </text>
    </comment>
    <comment ref="BS22" authorId="0" shapeId="0" xr:uid="{00000000-0006-0000-0000-00006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270</t>
        </r>
      </text>
    </comment>
    <comment ref="CA22" authorId="0" shapeId="0" xr:uid="{00000000-0006-0000-0000-00006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298</t>
        </r>
      </text>
    </comment>
    <comment ref="CP22" authorId="0" shapeId="0" xr:uid="{7C10E48E-97DC-4569-990B-B06C8E2591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940</t>
        </r>
      </text>
    </comment>
    <comment ref="CQ22" authorId="0" shapeId="0" xr:uid="{68A7927D-F9A8-4F09-A13F-FD11FB4C6E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945</t>
        </r>
      </text>
    </comment>
    <comment ref="BD23" authorId="0" shapeId="0" xr:uid="{00000000-0006-0000-0000-00006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220</t>
        </r>
      </text>
    </comment>
    <comment ref="BP23" authorId="0" shapeId="0" xr:uid="{00000000-0006-0000-0000-00007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239</t>
        </r>
      </text>
    </comment>
    <comment ref="CB23" authorId="0" shapeId="0" xr:uid="{00000000-0006-0000-0000-00007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295</t>
        </r>
      </text>
    </comment>
    <comment ref="CC23" authorId="0" shapeId="0" xr:uid="{00000000-0006-0000-0000-00007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300</t>
        </r>
      </text>
    </comment>
    <comment ref="CO23" authorId="0" shapeId="0" xr:uid="{00000000-0006-0000-0000-00007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911</t>
        </r>
      </text>
    </comment>
    <comment ref="BF24" authorId="0" shapeId="0" xr:uid="{00000000-0006-0000-0000-00007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226
CBC - 600/-</t>
        </r>
      </text>
    </comment>
    <comment ref="BL24" authorId="0" shapeId="0" xr:uid="{00000000-0006-0000-0000-00007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No.248</t>
        </r>
      </text>
    </comment>
    <comment ref="BS24" authorId="0" shapeId="0" xr:uid="{00000000-0006-0000-0000-00007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No.273</t>
        </r>
      </text>
    </comment>
    <comment ref="BX24" authorId="0" shapeId="0" xr:uid="{00000000-0006-0000-0000-00007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287</t>
        </r>
      </text>
    </comment>
    <comment ref="CO24" authorId="0" shapeId="0" xr:uid="{C950EFF2-F58B-4BE3-8113-5B09B704BB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939</t>
        </r>
      </text>
    </comment>
    <comment ref="BO25" authorId="0" shapeId="0" xr:uid="{00000000-0006-0000-0000-00007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240</t>
        </r>
      </text>
    </comment>
    <comment ref="CA25" authorId="0" shapeId="0" xr:uid="{00000000-0006-0000-0000-00007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282</t>
        </r>
      </text>
    </comment>
    <comment ref="CM25" authorId="0" shapeId="0" xr:uid="{00000000-0006-0000-0000-00007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913
Receipt No. 941</t>
        </r>
      </text>
    </comment>
    <comment ref="BH27" authorId="0" shapeId="0" xr:uid="{00000000-0006-0000-0000-00007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032</t>
        </r>
      </text>
    </comment>
    <comment ref="BQ27" authorId="0" shapeId="0" xr:uid="{00000000-0006-0000-0000-00007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069</t>
        </r>
      </text>
    </comment>
    <comment ref="CJ27" authorId="0" shapeId="0" xr:uid="{92BE672A-9C5A-41D7-B4E9-2613725F2B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732</t>
        </r>
      </text>
    </comment>
    <comment ref="CO27" authorId="0" shapeId="0" xr:uid="{E86891C6-FA56-432B-B8AF-F356A168C0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743</t>
        </r>
      </text>
    </comment>
    <comment ref="CQ27" authorId="0" shapeId="0" xr:uid="{7701FB7C-C8DE-4E95-A2D9-6F6DE28073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750</t>
        </r>
      </text>
    </comment>
    <comment ref="AZ28" authorId="0" shapeId="0" xr:uid="{00000000-0006-0000-0000-00007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005</t>
        </r>
      </text>
    </comment>
    <comment ref="BC28" authorId="0" shapeId="0" xr:uid="{00000000-0006-0000-0000-00007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013</t>
        </r>
      </text>
    </comment>
    <comment ref="BG28" authorId="0" shapeId="0" xr:uid="{00000000-0006-0000-0000-00007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023</t>
        </r>
      </text>
    </comment>
    <comment ref="BI28" authorId="0" shapeId="0" xr:uid="{00000000-0006-0000-0000-00008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042</t>
        </r>
      </text>
    </comment>
    <comment ref="BN28" authorId="0" shapeId="0" xr:uid="{00000000-0006-0000-0000-00008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056</t>
        </r>
      </text>
    </comment>
    <comment ref="BR28" authorId="0" shapeId="0" xr:uid="{00000000-0006-0000-0000-00008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077
Receipt No. 092</t>
        </r>
      </text>
    </comment>
    <comment ref="BV28" authorId="0" shapeId="0" xr:uid="{00000000-0006-0000-0000-00008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092</t>
        </r>
      </text>
    </comment>
    <comment ref="CJ28" authorId="0" shapeId="0" xr:uid="{A4B68194-EDEC-43EE-9873-D0C5B10BAC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733</t>
        </r>
      </text>
    </comment>
    <comment ref="CO28" authorId="0" shapeId="0" xr:uid="{E26F4D28-1CB8-4213-A72C-6D22CF60EB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744</t>
        </r>
      </text>
    </comment>
    <comment ref="AZ29" authorId="0" shapeId="0" xr:uid="{00000000-0006-0000-0000-00008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005</t>
        </r>
      </text>
    </comment>
    <comment ref="BC29" authorId="0" shapeId="0" xr:uid="{00000000-0006-0000-0000-00008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013</t>
        </r>
      </text>
    </comment>
    <comment ref="BE29" authorId="0" shapeId="0" xr:uid="{00000000-0006-0000-0000-00008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020</t>
        </r>
      </text>
    </comment>
    <comment ref="BG29" authorId="0" shapeId="0" xr:uid="{00000000-0006-0000-0000-00008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039</t>
        </r>
      </text>
    </comment>
    <comment ref="BI29" authorId="0" shapeId="0" xr:uid="{00000000-0006-0000-0000-00008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046</t>
        </r>
      </text>
    </comment>
    <comment ref="BK29" authorId="0" shapeId="0" xr:uid="{00000000-0006-0000-0000-00008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053</t>
        </r>
      </text>
    </comment>
    <comment ref="BM29" authorId="0" shapeId="0" xr:uid="{00000000-0006-0000-0000-00008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060</t>
        </r>
      </text>
    </comment>
    <comment ref="BO29" authorId="0" shapeId="0" xr:uid="{00000000-0006-0000-0000-00008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070</t>
        </r>
      </text>
    </comment>
    <comment ref="BQ29" authorId="0" shapeId="0" xr:uid="{00000000-0006-0000-0000-00008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078</t>
        </r>
      </text>
    </comment>
    <comment ref="BS29" authorId="0" shapeId="0" xr:uid="{00000000-0006-0000-0000-00008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089</t>
        </r>
      </text>
    </comment>
    <comment ref="BU29" authorId="0" shapeId="0" xr:uid="{00000000-0006-0000-0000-00008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1440</t>
        </r>
      </text>
    </comment>
    <comment ref="BW29" authorId="0" shapeId="0" xr:uid="{00000000-0006-0000-0000-00008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701</t>
        </r>
      </text>
    </comment>
    <comment ref="BY29" authorId="0" shapeId="0" xr:uid="{00000000-0006-0000-0000-00009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706</t>
        </r>
      </text>
    </comment>
    <comment ref="CA29" authorId="0" shapeId="0" xr:uid="{00000000-0006-0000-0000-00009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710</t>
        </r>
      </text>
    </comment>
    <comment ref="CC29" authorId="0" shapeId="0" xr:uid="{00000000-0006-0000-0000-00009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718</t>
        </r>
      </text>
    </comment>
    <comment ref="CE29" authorId="0" shapeId="0" xr:uid="{00000000-0006-0000-0000-00009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725</t>
        </r>
      </text>
    </comment>
    <comment ref="CG29" authorId="0" shapeId="0" xr:uid="{00000000-0006-0000-0000-00009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726</t>
        </r>
      </text>
    </comment>
    <comment ref="CJ29" authorId="0" shapeId="0" xr:uid="{27A9806F-574E-4F7B-8343-27857C7054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734</t>
        </r>
      </text>
    </comment>
    <comment ref="CL29" authorId="0" shapeId="0" xr:uid="{CEE9742F-B5AE-4337-B95C-3F8D97D6350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745</t>
        </r>
      </text>
    </comment>
    <comment ref="CN29" authorId="0" shapeId="0" xr:uid="{6B956817-C7F5-457E-8938-F0CA48C28C8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751</t>
        </r>
      </text>
    </comment>
    <comment ref="BC30" authorId="0" shapeId="0" xr:uid="{00000000-0006-0000-0000-00009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010</t>
        </r>
      </text>
    </comment>
    <comment ref="BE30" authorId="0" shapeId="0" xr:uid="{00000000-0006-0000-0000-00009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021</t>
        </r>
      </text>
    </comment>
    <comment ref="BI30" authorId="0" shapeId="0" xr:uid="{00000000-0006-0000-0000-00009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037</t>
        </r>
      </text>
    </comment>
    <comment ref="BL30" authorId="0" shapeId="0" xr:uid="{00000000-0006-0000-0000-00009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048</t>
        </r>
      </text>
    </comment>
    <comment ref="BP30" authorId="0" shapeId="0" xr:uid="{00000000-0006-0000-0000-00009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063</t>
        </r>
      </text>
    </comment>
    <comment ref="BR30" authorId="0" shapeId="0" xr:uid="{00000000-0006-0000-0000-00009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079</t>
        </r>
      </text>
    </comment>
    <comment ref="BU30" authorId="0" shapeId="0" xr:uid="{00000000-0006-0000-0000-00009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090</t>
        </r>
      </text>
    </comment>
    <comment ref="BW30" authorId="0" shapeId="0" xr:uid="{00000000-0006-0000-0000-00009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099</t>
        </r>
      </text>
    </comment>
    <comment ref="BZ30" authorId="0" shapeId="0" xr:uid="{00000000-0006-0000-0000-00009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707</t>
        </r>
      </text>
    </comment>
    <comment ref="CB30" authorId="0" shapeId="0" xr:uid="{00000000-0006-0000-0000-00009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712</t>
        </r>
      </text>
    </comment>
    <comment ref="CD30" authorId="0" shapeId="0" xr:uid="{00000000-0006-0000-0000-00009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715</t>
        </r>
      </text>
    </comment>
    <comment ref="CH30" authorId="0" shapeId="0" xr:uid="{00000000-0006-0000-0000-0000A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724</t>
        </r>
      </text>
    </comment>
    <comment ref="CJ30" authorId="0" shapeId="0" xr:uid="{7DA3800D-938B-4724-A859-C2122ADD1E4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735</t>
        </r>
      </text>
    </comment>
    <comment ref="CO30" authorId="0" shapeId="0" xr:uid="{6A94BB4D-097F-46B9-B673-63050F53FB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746</t>
        </r>
      </text>
    </comment>
    <comment ref="CR30" authorId="0" shapeId="0" xr:uid="{8655E712-1329-4A9F-84A6-DA424DF518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752</t>
        </r>
      </text>
    </comment>
    <comment ref="BI31" authorId="0" shapeId="0" xr:uid="{00000000-0006-0000-0000-0000A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043</t>
        </r>
      </text>
    </comment>
    <comment ref="BN31" authorId="0" shapeId="0" xr:uid="{00000000-0006-0000-0000-0000A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062</t>
        </r>
      </text>
    </comment>
    <comment ref="BZ31" authorId="0" shapeId="0" xr:uid="{00000000-0006-0000-0000-0000A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081</t>
        </r>
      </text>
    </comment>
    <comment ref="CL31" authorId="0" shapeId="0" xr:uid="{081EEB69-85D3-46E3-AA07-BAFD298BF5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739</t>
        </r>
      </text>
    </comment>
    <comment ref="BG32" authorId="0" shapeId="0" xr:uid="{00000000-0006-0000-0000-0000A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026</t>
        </r>
      </text>
    </comment>
    <comment ref="BL32" authorId="0" shapeId="0" xr:uid="{00000000-0006-0000-0000-0000A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047</t>
        </r>
      </text>
    </comment>
    <comment ref="BN32" authorId="0" shapeId="0" xr:uid="{00000000-0006-0000-0000-0000A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058</t>
        </r>
      </text>
    </comment>
    <comment ref="BP32" authorId="0" shapeId="0" xr:uid="{00000000-0006-0000-0000-0000A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065</t>
        </r>
      </text>
    </comment>
    <comment ref="BR32" authorId="0" shapeId="0" xr:uid="{00000000-0006-0000-0000-0000A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073</t>
        </r>
      </text>
    </comment>
    <comment ref="BU32" authorId="0" shapeId="0" xr:uid="{00000000-0006-0000-0000-0000A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087</t>
        </r>
      </text>
    </comment>
    <comment ref="BV32" authorId="0" shapeId="0" xr:uid="{00000000-0006-0000-0000-0000A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098</t>
        </r>
      </text>
    </comment>
    <comment ref="CH32" authorId="0" shapeId="0" xr:uid="{00000000-0006-0000-0000-0000A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Cash paid for new openwell pump at Dnyandeo building
Receipt No. 100</t>
        </r>
      </text>
    </comment>
    <comment ref="CN32" authorId="0" shapeId="0" xr:uid="{2E9CAFAF-FB50-4FD8-BA6C-5939DDA496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731</t>
        </r>
      </text>
    </comment>
    <comment ref="AS33" authorId="0" shapeId="0" xr:uid="{00000000-0006-0000-0000-0000A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014</t>
        </r>
      </text>
    </comment>
    <comment ref="BC33" authorId="0" shapeId="0" xr:uid="{00000000-0006-0000-0000-0000A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003</t>
        </r>
      </text>
    </comment>
    <comment ref="BD33" authorId="0" shapeId="0" xr:uid="{00000000-0006-0000-0000-0000A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014</t>
        </r>
      </text>
    </comment>
    <comment ref="BE33" authorId="0" shapeId="0" xr:uid="{00000000-0006-0000-0000-0000A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015</t>
        </r>
      </text>
    </comment>
    <comment ref="BF33" authorId="0" shapeId="0" xr:uid="{00000000-0006-0000-0000-0000B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024</t>
        </r>
      </text>
    </comment>
    <comment ref="BG33" authorId="0" shapeId="0" xr:uid="{00000000-0006-0000-0000-0000B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027</t>
        </r>
      </text>
    </comment>
    <comment ref="BH33" authorId="0" shapeId="0" xr:uid="{00000000-0006-0000-0000-0000B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033</t>
        </r>
      </text>
    </comment>
    <comment ref="BI33" authorId="0" shapeId="0" xr:uid="{00000000-0006-0000-0000-0000B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035</t>
        </r>
      </text>
    </comment>
    <comment ref="BJ33" authorId="0" shapeId="0" xr:uid="{00000000-0006-0000-0000-0000B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040</t>
        </r>
      </text>
    </comment>
    <comment ref="BK33" authorId="0" shapeId="0" xr:uid="{00000000-0006-0000-0000-0000B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045</t>
        </r>
      </text>
    </comment>
    <comment ref="BL33" authorId="0" shapeId="0" xr:uid="{00000000-0006-0000-0000-0000B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052</t>
        </r>
      </text>
    </comment>
    <comment ref="BM33" authorId="0" shapeId="0" xr:uid="{00000000-0006-0000-0000-0000B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057</t>
        </r>
      </text>
    </comment>
    <comment ref="BN33" authorId="0" shapeId="0" xr:uid="{00000000-0006-0000-0000-0000B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057</t>
        </r>
      </text>
    </comment>
    <comment ref="BO33" authorId="0" shapeId="0" xr:uid="{00000000-0006-0000-0000-0000B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174</t>
        </r>
      </text>
    </comment>
    <comment ref="BP33" authorId="0" shapeId="0" xr:uid="{00000000-0006-0000-0000-0000B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064</t>
        </r>
      </text>
    </comment>
    <comment ref="BQ33" authorId="0" shapeId="0" xr:uid="{00000000-0006-0000-0000-0000B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071</t>
        </r>
      </text>
    </comment>
    <comment ref="BR33" authorId="0" shapeId="0" xr:uid="{00000000-0006-0000-0000-0000B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072</t>
        </r>
      </text>
    </comment>
    <comment ref="BS33" authorId="0" shapeId="0" xr:uid="{00000000-0006-0000-0000-0000B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082</t>
        </r>
      </text>
    </comment>
    <comment ref="BT33" authorId="0" shapeId="0" xr:uid="{00000000-0006-0000-0000-0000B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085</t>
        </r>
      </text>
    </comment>
    <comment ref="BU33" authorId="0" shapeId="0" xr:uid="{00000000-0006-0000-0000-0000B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088</t>
        </r>
      </text>
    </comment>
    <comment ref="BX33" authorId="0" shapeId="0" xr:uid="{00000000-0006-0000-0000-0000C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091</t>
        </r>
      </text>
    </comment>
    <comment ref="CA33" authorId="0" shapeId="0" xr:uid="{00000000-0006-0000-0000-0000C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702
</t>
        </r>
      </text>
    </comment>
    <comment ref="CD33" authorId="0" shapeId="0" xr:uid="{00000000-0006-0000-0000-0000C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711</t>
        </r>
      </text>
    </comment>
    <comment ref="CG33" authorId="0" shapeId="0" xr:uid="{00000000-0006-0000-0000-0000C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717</t>
        </r>
      </text>
    </comment>
    <comment ref="CJ33" authorId="0" shapeId="0" xr:uid="{00000000-0006-0000-0000-0000C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727</t>
        </r>
      </text>
    </comment>
    <comment ref="CP33" authorId="0" shapeId="0" xr:uid="{890C67C8-79F2-4EFA-99EE-353BA2688A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729</t>
        </r>
      </text>
    </comment>
    <comment ref="CS33" authorId="0" shapeId="0" xr:uid="{F6C8D0DB-D01D-45A3-B358-03878F930D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753</t>
        </r>
      </text>
    </comment>
    <comment ref="BG34" authorId="0" shapeId="0" xr:uid="{00000000-0006-0000-0000-0000C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025</t>
        </r>
      </text>
    </comment>
    <comment ref="BL34" authorId="0" shapeId="0" xr:uid="{00000000-0006-0000-0000-0000C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049</t>
        </r>
      </text>
    </comment>
    <comment ref="BQ34" authorId="0" shapeId="0" xr:uid="{00000000-0006-0000-0000-0000C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066</t>
        </r>
      </text>
    </comment>
    <comment ref="BV34" authorId="0" shapeId="0" xr:uid="{00000000-0006-0000-0000-0000C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094</t>
        </r>
      </text>
    </comment>
    <comment ref="BW34" authorId="0" shapeId="0" xr:uid="{00000000-0006-0000-0000-0000C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703</t>
        </r>
      </text>
    </comment>
    <comment ref="CF34" authorId="0" shapeId="0" xr:uid="{3CCFD407-EDDC-40EF-93B9-622B44AAE9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740</t>
        </r>
      </text>
    </comment>
    <comment ref="BB35" authorId="0" shapeId="0" xr:uid="{00000000-0006-0000-0000-0000C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008</t>
        </r>
      </text>
    </comment>
    <comment ref="BC35" authorId="0" shapeId="0" xr:uid="{00000000-0006-0000-0000-0000C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016</t>
        </r>
      </text>
    </comment>
    <comment ref="BD35" authorId="0" shapeId="0" xr:uid="{00000000-0006-0000-0000-0000C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017</t>
        </r>
      </text>
    </comment>
    <comment ref="BE35" authorId="0" shapeId="0" xr:uid="{00000000-0006-0000-0000-0000C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018</t>
        </r>
      </text>
    </comment>
    <comment ref="BF35" authorId="0" shapeId="0" xr:uid="{00000000-0006-0000-0000-0000C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019</t>
        </r>
      </text>
    </comment>
    <comment ref="BG35" authorId="0" shapeId="0" xr:uid="{00000000-0006-0000-0000-0000C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028</t>
        </r>
      </text>
    </comment>
    <comment ref="BH35" authorId="0" shapeId="0" xr:uid="{00000000-0006-0000-0000-0000D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031</t>
        </r>
      </text>
    </comment>
    <comment ref="BI35" authorId="0" shapeId="0" xr:uid="{00000000-0006-0000-0000-0000D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036</t>
        </r>
      </text>
    </comment>
    <comment ref="BJ35" authorId="0" shapeId="0" xr:uid="{00000000-0006-0000-0000-0000D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038</t>
        </r>
      </text>
    </comment>
    <comment ref="BK35" authorId="0" shapeId="0" xr:uid="{00000000-0006-0000-0000-0000D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044</t>
        </r>
      </text>
    </comment>
    <comment ref="BL35" authorId="0" shapeId="0" xr:uid="{00000000-0006-0000-0000-0000D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050</t>
        </r>
      </text>
    </comment>
    <comment ref="BM35" authorId="0" shapeId="0" xr:uid="{00000000-0006-0000-0000-0000D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054</t>
        </r>
      </text>
    </comment>
    <comment ref="BN35" authorId="0" shapeId="0" xr:uid="{00000000-0006-0000-0000-0000D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059</t>
        </r>
      </text>
    </comment>
    <comment ref="BQ35" authorId="0" shapeId="0" xr:uid="{00000000-0006-0000-0000-0000D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067</t>
        </r>
      </text>
    </comment>
    <comment ref="BT35" authorId="0" shapeId="0" xr:uid="{00000000-0006-0000-0000-0000D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084</t>
        </r>
      </text>
    </comment>
    <comment ref="BW35" authorId="0" shapeId="0" xr:uid="{00000000-0006-0000-0000-0000D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093</t>
        </r>
      </text>
    </comment>
    <comment ref="BZ35" authorId="0" shapeId="0" xr:uid="{00000000-0006-0000-0000-0000D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704
Mrs. Madhuri Ramane</t>
        </r>
      </text>
    </comment>
    <comment ref="CC35" authorId="0" shapeId="0" xr:uid="{00000000-0006-0000-0000-0000D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708</t>
        </r>
      </text>
    </comment>
    <comment ref="CF35" authorId="0" shapeId="0" xr:uid="{00000000-0006-0000-0000-0000D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716</t>
        </r>
      </text>
    </comment>
    <comment ref="CI35" authorId="0" shapeId="0" xr:uid="{00000000-0006-0000-0000-0000D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722</t>
        </r>
      </text>
    </comment>
    <comment ref="CN35" authorId="0" shapeId="0" xr:uid="{652BCB45-EE9D-4C6B-8E3B-ECE587B248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736</t>
        </r>
      </text>
    </comment>
    <comment ref="CR35" authorId="0" shapeId="0" xr:uid="{BEEF8389-29CF-4319-989D-884CC087A0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747</t>
        </r>
      </text>
    </comment>
    <comment ref="BF36" authorId="0" shapeId="0" xr:uid="{00000000-0006-0000-0000-0000D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011</t>
        </r>
      </text>
    </comment>
    <comment ref="BL36" authorId="0" shapeId="0" xr:uid="{00000000-0006-0000-0000-0000D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030</t>
        </r>
      </text>
    </comment>
    <comment ref="BR36" authorId="0" shapeId="0" xr:uid="{00000000-0006-0000-0000-0000E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068</t>
        </r>
      </text>
    </comment>
    <comment ref="BX36" authorId="0" shapeId="0" xr:uid="{00000000-0006-0000-0000-0000E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095</t>
        </r>
      </text>
    </comment>
    <comment ref="CD36" authorId="0" shapeId="0" xr:uid="{00000000-0006-0000-0000-0000E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709</t>
        </r>
      </text>
    </comment>
    <comment ref="CL36" authorId="0" shapeId="0" xr:uid="{CD2A36C6-4A3A-4163-8AF4-6A47391D91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738</t>
        </r>
      </text>
    </comment>
    <comment ref="CP36" authorId="0" shapeId="0" xr:uid="{73B03F68-C749-459F-8436-A39B791501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741</t>
        </r>
      </text>
    </comment>
    <comment ref="CV36" authorId="0" shapeId="0" xr:uid="{18DB8478-2DC2-487B-ADD5-C43F6CC59F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759</t>
        </r>
      </text>
    </comment>
    <comment ref="BC37" authorId="0" shapeId="0" xr:uid="{00000000-0006-0000-0000-0000E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004</t>
        </r>
      </text>
    </comment>
    <comment ref="BF37" authorId="0" shapeId="0" xr:uid="{00000000-0006-0000-0000-0000E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022</t>
        </r>
      </text>
    </comment>
    <comment ref="BI37" authorId="0" shapeId="0" xr:uid="{00000000-0006-0000-0000-0000E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034</t>
        </r>
      </text>
    </comment>
    <comment ref="BL37" authorId="0" shapeId="0" xr:uid="{00000000-0006-0000-0000-0000E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051</t>
        </r>
      </text>
    </comment>
    <comment ref="BO37" authorId="0" shapeId="0" xr:uid="{00000000-0006-0000-0000-0000E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061</t>
        </r>
      </text>
    </comment>
    <comment ref="BR37" authorId="0" shapeId="0" xr:uid="{00000000-0006-0000-0000-0000E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U37" authorId="0" shapeId="0" xr:uid="{00000000-0006-0000-0000-0000E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086</t>
        </r>
      </text>
    </comment>
    <comment ref="BX37" authorId="0" shapeId="0" xr:uid="{00000000-0006-0000-0000-0000E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097</t>
        </r>
      </text>
    </comment>
    <comment ref="CA37" authorId="0" shapeId="0" xr:uid="{00000000-0006-0000-0000-0000E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705</t>
        </r>
      </text>
    </comment>
    <comment ref="CD37" authorId="0" shapeId="0" xr:uid="{00000000-0006-0000-0000-0000E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713</t>
        </r>
      </text>
    </comment>
    <comment ref="CG37" authorId="0" shapeId="0" xr:uid="{00000000-0006-0000-0000-0000E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723</t>
        </r>
      </text>
    </comment>
    <comment ref="CJ37" authorId="0" shapeId="0" xr:uid="{00000000-0006-0000-0000-0000E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728</t>
        </r>
      </text>
    </comment>
    <comment ref="CP37" authorId="0" shapeId="0" xr:uid="{1A8566FF-5F8B-4448-96A3-1562022077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742
Receipt No. 749</t>
        </r>
      </text>
    </comment>
    <comment ref="BF38" authorId="0" shapeId="0" xr:uid="{00000000-0006-0000-0000-0000E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012</t>
        </r>
      </text>
    </comment>
    <comment ref="BI38" authorId="0" shapeId="0" xr:uid="{00000000-0006-0000-0000-0000F0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029</t>
        </r>
      </text>
    </comment>
    <comment ref="BL38" authorId="0" shapeId="0" xr:uid="{00000000-0006-0000-0000-0000F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041</t>
        </r>
      </text>
    </comment>
    <comment ref="BO38" authorId="0" shapeId="0" xr:uid="{00000000-0006-0000-0000-0000F2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055</t>
        </r>
      </text>
    </comment>
    <comment ref="CA38" authorId="0" shapeId="0" xr:uid="{00000000-0006-0000-0000-0000F3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083
Discount of Rs. 360/-</t>
        </r>
      </text>
    </comment>
    <comment ref="CD38" authorId="0" shapeId="0" xr:uid="{00000000-0006-0000-0000-0000F4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714</t>
        </r>
      </text>
    </comment>
    <comment ref="CJ38" authorId="0" shapeId="0" xr:uid="{28E640BA-0C7B-4C28-A98F-E5F71B36DA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737</t>
        </r>
      </text>
    </comment>
    <comment ref="CO38" authorId="0" shapeId="0" xr:uid="{7B544156-D845-410B-A67F-9E6BA959C5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748</t>
        </r>
      </text>
    </comment>
    <comment ref="AY40" authorId="0" shapeId="0" xr:uid="{00000000-0006-0000-0000-0000F5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129</t>
        </r>
      </text>
    </comment>
    <comment ref="BD40" authorId="0" shapeId="0" xr:uid="{00000000-0006-0000-0000-0000F6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138</t>
        </r>
      </text>
    </comment>
    <comment ref="BI40" authorId="0" shapeId="0" xr:uid="{00000000-0006-0000-0000-0000F7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148</t>
        </r>
      </text>
    </comment>
    <comment ref="BN40" authorId="0" shapeId="0" xr:uid="{00000000-0006-0000-0000-0000F8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168</t>
        </r>
      </text>
    </comment>
    <comment ref="BS40" authorId="0" shapeId="0" xr:uid="{00000000-0006-0000-0000-0000F9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191</t>
        </r>
      </text>
    </comment>
    <comment ref="CJ40" authorId="0" shapeId="0" xr:uid="{38CE47D0-2B21-4EE6-ABD1-3CE01B44DC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630</t>
        </r>
      </text>
    </comment>
    <comment ref="BC41" authorId="0" shapeId="0" xr:uid="{00000000-0006-0000-0000-0000FA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134</t>
        </r>
      </text>
    </comment>
    <comment ref="BG41" authorId="0" shapeId="0" xr:uid="{00000000-0006-0000-0000-0000FB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142</t>
        </r>
      </text>
    </comment>
    <comment ref="BJ41" authorId="0" shapeId="0" xr:uid="{00000000-0006-0000-0000-0000FC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155</t>
        </r>
      </text>
    </comment>
    <comment ref="BO41" authorId="0" shapeId="0" xr:uid="{00000000-0006-0000-0000-0000FD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165</t>
        </r>
      </text>
    </comment>
    <comment ref="BU41" authorId="0" shapeId="0" xr:uid="{00000000-0006-0000-0000-0000FE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190</t>
        </r>
      </text>
    </comment>
    <comment ref="CA41" authorId="0" shapeId="0" xr:uid="{00000000-0006-0000-0000-0000FF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609</t>
        </r>
      </text>
    </comment>
    <comment ref="CM41" authorId="0" shapeId="0" xr:uid="{D53502A4-2B8E-4EFA-A15D-3AEAB0A381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631</t>
        </r>
      </text>
    </comment>
    <comment ref="CQ41" authorId="0" shapeId="0" xr:uid="{2B553AD6-C900-4D41-8033-0E3A3E3CD2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646</t>
        </r>
      </text>
    </comment>
    <comment ref="AZ42" authorId="0" shapeId="0" xr:uid="{00000000-0006-0000-0000-00000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122</t>
        </r>
      </text>
    </comment>
    <comment ref="BC42" authorId="0" shapeId="0" xr:uid="{00000000-0006-0000-0000-00000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132</t>
        </r>
      </text>
    </comment>
    <comment ref="BF42" authorId="0" shapeId="0" xr:uid="{00000000-0006-0000-0000-00000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143</t>
        </r>
      </text>
    </comment>
    <comment ref="BI42" authorId="0" shapeId="0" xr:uid="{00000000-0006-0000-0000-00000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157</t>
        </r>
      </text>
    </comment>
    <comment ref="BL42" authorId="0" shapeId="0" xr:uid="{00000000-0006-0000-0000-00000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169</t>
        </r>
      </text>
    </comment>
    <comment ref="BO42" authorId="0" shapeId="0" xr:uid="{00000000-0006-0000-0000-00000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177</t>
        </r>
      </text>
    </comment>
    <comment ref="BR42" authorId="0" shapeId="0" xr:uid="{00000000-0006-0000-0000-00000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185</t>
        </r>
      </text>
    </comment>
    <comment ref="BU42" authorId="0" shapeId="0" xr:uid="{00000000-0006-0000-0000-00000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197</t>
        </r>
      </text>
    </comment>
    <comment ref="BX42" authorId="0" shapeId="0" xr:uid="{00000000-0006-0000-0000-00000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604</t>
        </r>
      </text>
    </comment>
    <comment ref="CA42" authorId="0" shapeId="0" xr:uid="{00000000-0006-0000-0000-00000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612</t>
        </r>
      </text>
    </comment>
    <comment ref="CD42" authorId="0" shapeId="0" xr:uid="{00000000-0006-0000-0000-00000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621</t>
        </r>
      </text>
    </comment>
    <comment ref="CG42" authorId="0" shapeId="0" xr:uid="{00000000-0006-0000-0000-00000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628</t>
        </r>
      </text>
    </comment>
    <comment ref="CM42" authorId="0" shapeId="0" xr:uid="{9CCF45AD-BB22-4080-A514-F750ADF6B2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632</t>
        </r>
      </text>
    </comment>
    <comment ref="BC43" authorId="0" shapeId="0" xr:uid="{00000000-0006-0000-0000-00000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125
</t>
        </r>
      </text>
    </comment>
    <comment ref="BH43" authorId="0" shapeId="0" xr:uid="{00000000-0006-0000-0000-00000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149</t>
        </r>
      </text>
    </comment>
    <comment ref="BL43" authorId="0" shapeId="0" xr:uid="{00000000-0006-0000-0000-00000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167</t>
        </r>
      </text>
    </comment>
    <comment ref="BO43" authorId="0" shapeId="0" xr:uid="{00000000-0006-0000-0000-00000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172</t>
        </r>
      </text>
    </comment>
    <comment ref="BQ43" authorId="0" shapeId="0" xr:uid="{00000000-0006-0000-0000-00001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180</t>
        </r>
      </text>
    </comment>
    <comment ref="BU43" authorId="0" shapeId="0" xr:uid="{00000000-0006-0000-0000-00001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194</t>
        </r>
      </text>
    </comment>
    <comment ref="BV43" authorId="0" shapeId="0" xr:uid="{00000000-0006-0000-0000-00001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601</t>
        </r>
      </text>
    </comment>
    <comment ref="CC43" authorId="0" shapeId="0" xr:uid="{00000000-0006-0000-0000-00001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617</t>
        </r>
      </text>
    </comment>
    <comment ref="CI43" authorId="0" shapeId="0" xr:uid="{D9732B65-4402-46EA-9B97-EA18FCF790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633</t>
        </r>
      </text>
    </comment>
    <comment ref="CQ43" authorId="0" shapeId="0" xr:uid="{3FD82944-B490-4718-8463-635D15FD94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642</t>
        </r>
      </text>
    </comment>
    <comment ref="AR44" authorId="0" shapeId="0" xr:uid="{00000000-0006-0000-0000-00001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150</t>
        </r>
      </text>
    </comment>
    <comment ref="BC44" authorId="0" shapeId="0" xr:uid="{00000000-0006-0000-0000-00001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119
Cheque amount-7900/-</t>
        </r>
      </text>
    </comment>
    <comment ref="BI44" authorId="0" shapeId="0" xr:uid="{00000000-0006-0000-0000-00001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150</t>
        </r>
      </text>
    </comment>
    <comment ref="BR44" authorId="0" shapeId="0" xr:uid="{00000000-0006-0000-0000-00001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186</t>
        </r>
      </text>
    </comment>
    <comment ref="CM44" authorId="0" shapeId="0" xr:uid="{EA7759FB-CA9F-4A65-AA7D-97A204E613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634</t>
        </r>
      </text>
    </comment>
    <comment ref="BO45" authorId="0" shapeId="0" xr:uid="{00000000-0006-0000-0000-00001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145</t>
        </r>
      </text>
    </comment>
    <comment ref="CA45" authorId="0" shapeId="0" xr:uid="{00000000-0006-0000-0000-00001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198</t>
        </r>
      </text>
    </comment>
    <comment ref="CM45" authorId="0" shapeId="0" xr:uid="{00000000-0006-0000-0000-00001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618
Receipt No. 645</t>
        </r>
      </text>
    </comment>
    <comment ref="AU46" authorId="0" shapeId="0" xr:uid="{00000000-0006-0000-0000-00001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124</t>
        </r>
      </text>
    </comment>
    <comment ref="BB46" authorId="0" shapeId="0" xr:uid="{00000000-0006-0000-0000-00001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126</t>
        </r>
      </text>
    </comment>
    <comment ref="BF46" authorId="0" shapeId="0" xr:uid="{00000000-0006-0000-0000-00001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140</t>
        </r>
      </text>
    </comment>
    <comment ref="BL46" authorId="0" shapeId="0" xr:uid="{00000000-0006-0000-0000-00001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161</t>
        </r>
      </text>
    </comment>
    <comment ref="BO46" authorId="0" shapeId="0" xr:uid="{00000000-0006-0000-0000-00001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176</t>
        </r>
      </text>
    </comment>
    <comment ref="BS46" authorId="0" shapeId="0" xr:uid="{00000000-0006-0000-0000-00002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187</t>
        </r>
      </text>
    </comment>
    <comment ref="BU46" authorId="0" shapeId="0" xr:uid="{00000000-0006-0000-0000-00002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199</t>
        </r>
      </text>
    </comment>
    <comment ref="CA46" authorId="0" shapeId="0" xr:uid="{00000000-0006-0000-0000-00002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613</t>
        </r>
      </text>
    </comment>
    <comment ref="CG46" authorId="0" shapeId="0" xr:uid="{00000000-0006-0000-0000-00002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629</t>
        </r>
      </text>
    </comment>
    <comment ref="CK46" authorId="0" shapeId="0" xr:uid="{5A31D9C5-B764-454D-B811-7C5416638C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635</t>
        </r>
      </text>
    </comment>
    <comment ref="BC47" authorId="0" shapeId="0" xr:uid="{00000000-0006-0000-0000-00002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133</t>
        </r>
      </text>
    </comment>
    <comment ref="BG47" authorId="0" shapeId="0" xr:uid="{00000000-0006-0000-0000-00002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146</t>
        </r>
      </text>
    </comment>
    <comment ref="BJ47" authorId="0" shapeId="0" xr:uid="{00000000-0006-0000-0000-00002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156</t>
        </r>
      </text>
    </comment>
    <comment ref="BM47" authorId="0" shapeId="0" xr:uid="{00000000-0006-0000-0000-00002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163</t>
        </r>
      </text>
    </comment>
    <comment ref="BP47" authorId="0" shapeId="0" xr:uid="{00000000-0006-0000-0000-00002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178</t>
        </r>
      </text>
    </comment>
    <comment ref="BS47" authorId="0" shapeId="0" xr:uid="{00000000-0006-0000-0000-00002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184</t>
        </r>
      </text>
    </comment>
    <comment ref="BW47" authorId="0" shapeId="0" xr:uid="{00000000-0006-0000-0000-00002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196</t>
        </r>
      </text>
    </comment>
    <comment ref="CA47" authorId="0" shapeId="0" xr:uid="{00000000-0006-0000-0000-00002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608</t>
        </r>
      </text>
    </comment>
    <comment ref="CD47" authorId="0" shapeId="0" xr:uid="{00000000-0006-0000-0000-00002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614</t>
        </r>
      </text>
    </comment>
    <comment ref="CF47" authorId="0" shapeId="0" xr:uid="{00000000-0006-0000-0000-00002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622</t>
        </r>
      </text>
    </comment>
    <comment ref="CI47" authorId="0" shapeId="0" xr:uid="{00000000-0006-0000-0000-00002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625</t>
        </r>
      </text>
    </comment>
    <comment ref="CO47" authorId="0" shapeId="0" xr:uid="{3EA73A62-3620-4B19-A27D-4B52AB9D01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638</t>
        </r>
      </text>
    </comment>
    <comment ref="BF48" authorId="0" shapeId="0" xr:uid="{00000000-0006-0000-0000-00002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131</t>
        </r>
      </text>
    </comment>
    <comment ref="BJ48" authorId="0" shapeId="0" xr:uid="{00000000-0006-0000-0000-00003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141</t>
        </r>
      </text>
    </comment>
    <comment ref="BN48" authorId="0" shapeId="0" xr:uid="{00000000-0006-0000-0000-00003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159</t>
        </r>
      </text>
    </comment>
    <comment ref="BR48" authorId="0" shapeId="0" xr:uid="{00000000-0006-0000-0000-00003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173</t>
        </r>
      </text>
    </comment>
    <comment ref="BV48" authorId="0" shapeId="0" xr:uid="{00000000-0006-0000-0000-00003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192</t>
        </r>
      </text>
    </comment>
    <comment ref="BZ48" authorId="0" shapeId="0" xr:uid="{00000000-0006-0000-0000-00003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605</t>
        </r>
      </text>
    </comment>
    <comment ref="CD48" authorId="0" shapeId="0" xr:uid="{00000000-0006-0000-0000-00003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615</t>
        </r>
      </text>
    </comment>
    <comment ref="CH48" authorId="0" shapeId="0" xr:uid="{00000000-0006-0000-0000-00003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626</t>
        </r>
      </text>
    </comment>
    <comment ref="CK48" authorId="0" shapeId="0" xr:uid="{B459D991-E74F-40C4-9E31-365D954217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639</t>
        </r>
      </text>
    </comment>
    <comment ref="CP48" authorId="0" shapeId="0" xr:uid="{D8168B88-C001-4046-892A-E017EC009B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649</t>
        </r>
      </text>
    </comment>
    <comment ref="BA49" authorId="0" shapeId="0" xr:uid="{00000000-0006-0000-0000-00003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123</t>
        </r>
      </text>
    </comment>
    <comment ref="BB49" authorId="0" shapeId="0" xr:uid="{00000000-0006-0000-0000-00003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211</t>
        </r>
      </text>
    </comment>
    <comment ref="BC49" authorId="0" shapeId="0" xr:uid="{00000000-0006-0000-0000-00003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130</t>
        </r>
      </text>
    </comment>
    <comment ref="BD49" authorId="0" shapeId="0" xr:uid="{00000000-0006-0000-0000-00003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135</t>
        </r>
      </text>
    </comment>
    <comment ref="BE49" authorId="0" shapeId="0" xr:uid="{00000000-0006-0000-0000-00003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137</t>
        </r>
      </text>
    </comment>
    <comment ref="BF49" authorId="0" shapeId="0" xr:uid="{00000000-0006-0000-0000-00003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139</t>
        </r>
      </text>
    </comment>
    <comment ref="BG49" authorId="0" shapeId="0" xr:uid="{00000000-0006-0000-0000-00003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144</t>
        </r>
      </text>
    </comment>
    <comment ref="BH49" authorId="0" shapeId="0" xr:uid="{00000000-0006-0000-0000-00003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151</t>
        </r>
      </text>
    </comment>
    <comment ref="BI49" authorId="0" shapeId="0" xr:uid="{00000000-0006-0000-0000-00003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152</t>
        </r>
      </text>
    </comment>
    <comment ref="BJ49" authorId="0" shapeId="0" xr:uid="{00000000-0006-0000-0000-00004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160</t>
        </r>
      </text>
    </comment>
    <comment ref="BK49" authorId="0" shapeId="0" xr:uid="{00000000-0006-0000-0000-00004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162</t>
        </r>
      </text>
    </comment>
    <comment ref="BL49" authorId="0" shapeId="0" xr:uid="{00000000-0006-0000-0000-00004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164</t>
        </r>
      </text>
    </comment>
    <comment ref="BM49" authorId="0" shapeId="0" xr:uid="{00000000-0006-0000-0000-00004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170</t>
        </r>
      </text>
    </comment>
    <comment ref="BN49" authorId="0" shapeId="0" xr:uid="{00000000-0006-0000-0000-00004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170</t>
        </r>
      </text>
    </comment>
    <comment ref="BO49" authorId="0" shapeId="0" xr:uid="{00000000-0006-0000-0000-00004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175</t>
        </r>
      </text>
    </comment>
    <comment ref="BP49" authorId="0" shapeId="0" xr:uid="{00000000-0006-0000-0000-00004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179</t>
        </r>
      </text>
    </comment>
    <comment ref="BQ49" authorId="0" shapeId="0" xr:uid="{00000000-0006-0000-0000-00004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181</t>
        </r>
      </text>
    </comment>
    <comment ref="BR49" authorId="0" shapeId="0" xr:uid="{00000000-0006-0000-0000-00004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183</t>
        </r>
      </text>
    </comment>
    <comment ref="BS49" authorId="0" shapeId="0" xr:uid="{00000000-0006-0000-0000-00004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188</t>
        </r>
      </text>
    </comment>
    <comment ref="BT49" authorId="0" shapeId="0" xr:uid="{00000000-0006-0000-0000-00004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189</t>
        </r>
      </text>
    </comment>
    <comment ref="BU49" authorId="0" shapeId="0" xr:uid="{00000000-0006-0000-0000-00004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193</t>
        </r>
      </text>
    </comment>
    <comment ref="BV49" authorId="0" shapeId="0" xr:uid="{00000000-0006-0000-0000-00004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195</t>
        </r>
      </text>
    </comment>
    <comment ref="BW49" authorId="0" shapeId="0" xr:uid="{00000000-0006-0000-0000-00004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200</t>
        </r>
      </text>
    </comment>
    <comment ref="BX49" authorId="0" shapeId="0" xr:uid="{00000000-0006-0000-0000-00004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602</t>
        </r>
      </text>
    </comment>
    <comment ref="BY49" authorId="0" shapeId="0" xr:uid="{00000000-0006-0000-0000-00004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606</t>
        </r>
      </text>
    </comment>
    <comment ref="BZ49" authorId="0" shapeId="0" xr:uid="{00000000-0006-0000-0000-00005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607</t>
        </r>
      </text>
    </comment>
    <comment ref="CA49" authorId="0" shapeId="0" xr:uid="{00000000-0006-0000-0000-00005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610</t>
        </r>
      </text>
    </comment>
    <comment ref="CB49" authorId="0" shapeId="0" xr:uid="{00000000-0006-0000-0000-00005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611</t>
        </r>
      </text>
    </comment>
    <comment ref="CC49" authorId="0" shapeId="0" xr:uid="{00000000-0006-0000-0000-00005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616</t>
        </r>
      </text>
    </comment>
    <comment ref="CD49" authorId="0" shapeId="0" xr:uid="{00000000-0006-0000-0000-00005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619</t>
        </r>
      </text>
    </comment>
    <comment ref="CE49" authorId="0" shapeId="0" xr:uid="{00000000-0006-0000-0000-00005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623</t>
        </r>
      </text>
    </comment>
    <comment ref="CG49" authorId="0" shapeId="0" xr:uid="{00000000-0006-0000-0000-00005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624</t>
        </r>
      </text>
    </comment>
    <comment ref="CH49" authorId="0" shapeId="0" xr:uid="{00000000-0006-0000-0000-00005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627</t>
        </r>
      </text>
    </comment>
    <comment ref="CJ49" authorId="0" shapeId="0" xr:uid="{E24351F6-D289-4F44-AD73-7BD4B502B2D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636</t>
        </r>
      </text>
    </comment>
    <comment ref="BB50" authorId="0" shapeId="0" xr:uid="{00000000-0006-0000-0000-00005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127</t>
        </r>
      </text>
    </comment>
    <comment ref="BH50" authorId="0" shapeId="0" xr:uid="{00000000-0006-0000-0000-00005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153</t>
        </r>
      </text>
    </comment>
    <comment ref="BM50" authorId="0" shapeId="0" xr:uid="{00000000-0006-0000-0000-00005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171</t>
        </r>
      </text>
    </comment>
    <comment ref="CL50" authorId="0" shapeId="0" xr:uid="{DF66F93A-E6AC-4D71-AEB3-1127881F3E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647</t>
        </r>
      </text>
    </comment>
    <comment ref="BD51" authorId="0" shapeId="0" xr:uid="{00000000-0006-0000-0000-00005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136</t>
        </r>
      </text>
    </comment>
    <comment ref="BH51" authorId="0" shapeId="0" xr:uid="{00000000-0006-0000-0000-00005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147</t>
        </r>
      </text>
    </comment>
    <comment ref="BL51" authorId="0" shapeId="0" xr:uid="{00000000-0006-0000-0000-00005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166</t>
        </r>
      </text>
    </comment>
    <comment ref="BQ51" authorId="0" shapeId="0" xr:uid="{00000000-0006-0000-0000-00005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182</t>
        </r>
      </text>
    </comment>
    <comment ref="BW51" authorId="0" shapeId="0" xr:uid="{00000000-0006-0000-0000-00005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603</t>
        </r>
      </text>
    </comment>
    <comment ref="CC51" authorId="0" shapeId="0" xr:uid="{00000000-0006-0000-0000-00006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620</t>
        </r>
      </text>
    </comment>
    <comment ref="CJ51" authorId="0" shapeId="0" xr:uid="{72F3414F-3E96-4895-B04B-8529F42360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637</t>
        </r>
      </text>
    </comment>
    <comment ref="CO51" authorId="0" shapeId="0" xr:uid="{FD921908-3E3D-46F2-8804-A30F71D1C8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640</t>
        </r>
      </text>
    </comment>
    <comment ref="CQ51" authorId="0" shapeId="0" xr:uid="{6354768A-B174-4B23-B34E-EC6A7C6A2F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648</t>
        </r>
      </text>
    </comment>
    <comment ref="BB53" authorId="0" shapeId="0" xr:uid="{00000000-0006-0000-0000-00006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4871</t>
        </r>
      </text>
    </comment>
    <comment ref="BC53" authorId="0" shapeId="0" xr:uid="{00000000-0006-0000-0000-00006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4894</t>
        </r>
      </text>
    </comment>
    <comment ref="BD53" authorId="0" shapeId="0" xr:uid="{00000000-0006-0000-0000-00006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4895</t>
        </r>
      </text>
    </comment>
    <comment ref="BE53" authorId="0" shapeId="0" xr:uid="{00000000-0006-0000-0000-00006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4896</t>
        </r>
      </text>
    </comment>
    <comment ref="BF53" authorId="0" shapeId="0" xr:uid="{00000000-0006-0000-0000-00006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4897</t>
        </r>
      </text>
    </comment>
    <comment ref="BG53" authorId="0" shapeId="0" xr:uid="{00000000-0006-0000-0000-00006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313</t>
        </r>
      </text>
    </comment>
    <comment ref="BH53" authorId="0" shapeId="0" xr:uid="{00000000-0006-0000-0000-00006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330</t>
        </r>
      </text>
    </comment>
    <comment ref="BI53" authorId="0" shapeId="0" xr:uid="{00000000-0006-0000-0000-00006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339</t>
        </r>
      </text>
    </comment>
    <comment ref="BJ53" authorId="0" shapeId="0" xr:uid="{00000000-0006-0000-0000-00006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340</t>
        </r>
      </text>
    </comment>
    <comment ref="BK53" authorId="0" shapeId="0" xr:uid="{00000000-0006-0000-0000-00006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349</t>
        </r>
      </text>
    </comment>
    <comment ref="BL53" authorId="0" shapeId="0" xr:uid="{00000000-0006-0000-0000-00006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354</t>
        </r>
      </text>
    </comment>
    <comment ref="BM53" authorId="0" shapeId="0" xr:uid="{00000000-0006-0000-0000-00006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371</t>
        </r>
      </text>
    </comment>
    <comment ref="BN53" authorId="0" shapeId="0" xr:uid="{00000000-0006-0000-0000-00006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374</t>
        </r>
      </text>
    </comment>
    <comment ref="BO53" authorId="0" shapeId="0" xr:uid="{00000000-0006-0000-0000-00006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392</t>
        </r>
      </text>
    </comment>
    <comment ref="BT53" authorId="0" shapeId="0" xr:uid="{00000000-0006-0000-0000-00006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421</t>
        </r>
      </text>
    </comment>
    <comment ref="BW53" authorId="0" shapeId="0" xr:uid="{00000000-0006-0000-0000-00007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441</t>
        </r>
      </text>
    </comment>
    <comment ref="CA53" authorId="0" shapeId="0" xr:uid="{00000000-0006-0000-0000-00007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470</t>
        </r>
      </text>
    </comment>
    <comment ref="CD53" authorId="0" shapeId="0" xr:uid="{00000000-0006-0000-0000-00007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3818</t>
        </r>
      </text>
    </comment>
    <comment ref="CG53" authorId="0" shapeId="0" xr:uid="{00000000-0006-0000-0000-00007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3827</t>
        </r>
      </text>
    </comment>
    <comment ref="CJ53" authorId="0" shapeId="0" xr:uid="{00000000-0006-0000-0000-00007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3836</t>
        </r>
      </text>
    </comment>
    <comment ref="CO53" authorId="0" shapeId="0" xr:uid="{00279A6E-4BF8-4D76-A988-EBD1EC761D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3888</t>
        </r>
      </text>
    </comment>
    <comment ref="CR53" authorId="0" shapeId="0" xr:uid="{53344E16-2588-4B40-A28C-43C67B4A33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758</t>
        </r>
      </text>
    </comment>
    <comment ref="BB54" authorId="0" shapeId="0" xr:uid="{00000000-0006-0000-0000-00007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Cheque No. 000046
Amount -5000/-
Receipt No. 4898
Receipt No. 320</t>
        </r>
      </text>
    </comment>
    <comment ref="BF54" authorId="0" shapeId="0" xr:uid="{00000000-0006-0000-0000-00007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321
Late fee - 500/-
Receipt No. 341
Rs 75/-</t>
        </r>
      </text>
    </comment>
    <comment ref="BI54" authorId="0" shapeId="0" xr:uid="{00000000-0006-0000-0000-00007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J54" authorId="0" shapeId="0" xr:uid="{00000000-0006-0000-0000-00007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K54" authorId="0" shapeId="0" xr:uid="{00000000-0006-0000-0000-00007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L54" authorId="0" shapeId="0" xr:uid="{00000000-0006-0000-0000-00007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M54" authorId="0" shapeId="0" xr:uid="{00000000-0006-0000-0000-00007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N54" authorId="0" shapeId="0" xr:uid="{00000000-0006-0000-0000-00007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O54" authorId="0" shapeId="0" xr:uid="{00000000-0006-0000-0000-00007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P54" authorId="0" shapeId="0" xr:uid="{00000000-0006-0000-0000-00007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Q54" authorId="0" shapeId="0" xr:uid="{00000000-0006-0000-0000-00007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R54" authorId="0" shapeId="0" xr:uid="{00000000-0006-0000-0000-00008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S54" authorId="0" shapeId="0" xr:uid="{00000000-0006-0000-0000-00008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T54" authorId="0" shapeId="0" xr:uid="{00000000-0006-0000-0000-00008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U54" authorId="0" shapeId="0" xr:uid="{00000000-0006-0000-0000-00008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V54" authorId="0" shapeId="0" xr:uid="{00000000-0006-0000-0000-00008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W54" authorId="0" shapeId="0" xr:uid="{00000000-0006-0000-0000-00008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X54" authorId="0" shapeId="0" xr:uid="{00000000-0006-0000-0000-00008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Y54" authorId="0" shapeId="0" xr:uid="{00000000-0006-0000-0000-00008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BZ54" authorId="0" shapeId="0" xr:uid="{00000000-0006-0000-0000-00008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A54" authorId="0" shapeId="0" xr:uid="{00000000-0006-0000-0000-00008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B54" authorId="0" shapeId="0" xr:uid="{00000000-0006-0000-0000-00008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C54" authorId="0" shapeId="0" xr:uid="{00000000-0006-0000-0000-00008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D54" authorId="0" shapeId="0" xr:uid="{00000000-0006-0000-0000-00008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E54" authorId="0" shapeId="0" xr:uid="{00000000-0006-0000-0000-00008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F54" authorId="0" shapeId="0" xr:uid="{00000000-0006-0000-0000-00008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G54" authorId="0" shapeId="0" xr:uid="{00000000-0006-0000-0000-00008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H54" authorId="0" shapeId="0" xr:uid="{00000000-0006-0000-0000-00009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I54" authorId="0" shapeId="0" xr:uid="{00000000-0006-0000-0000-00009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J54" authorId="0" shapeId="0" xr:uid="{00000000-0006-0000-0000-00009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341</t>
        </r>
      </text>
    </comment>
    <comment ref="CP54" authorId="0" shapeId="0" xr:uid="{956837A9-3BDD-4FCF-A310-63E43BBEC7E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3887</t>
        </r>
      </text>
    </comment>
    <comment ref="CQ54" authorId="0" shapeId="0" xr:uid="{8C3B9524-4D63-4E6E-9F2A-E228C4F762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754</t>
        </r>
      </text>
    </comment>
    <comment ref="AY55" authorId="0" shapeId="0" xr:uid="{00000000-0006-0000-0000-00009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3559</t>
        </r>
      </text>
    </comment>
    <comment ref="BC55" authorId="0" shapeId="0" xr:uid="{00000000-0006-0000-0000-00009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4870</t>
        </r>
      </text>
    </comment>
    <comment ref="BD55" authorId="0" shapeId="0" xr:uid="{00000000-0006-0000-0000-00009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4875</t>
        </r>
      </text>
    </comment>
    <comment ref="BF55" authorId="0" shapeId="0" xr:uid="{00000000-0006-0000-0000-00009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307</t>
        </r>
      </text>
    </comment>
    <comment ref="BI55" authorId="0" shapeId="0" xr:uid="{00000000-0006-0000-0000-00009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345</t>
        </r>
      </text>
    </comment>
    <comment ref="BL55" authorId="0" shapeId="0" xr:uid="{00000000-0006-0000-0000-00009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367</t>
        </r>
      </text>
    </comment>
    <comment ref="BO55" authorId="0" shapeId="0" xr:uid="{00000000-0006-0000-0000-00009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</t>
        </r>
      </text>
    </comment>
    <comment ref="BR55" authorId="0" shapeId="0" xr:uid="{00000000-0006-0000-0000-00009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406</t>
        </r>
      </text>
    </comment>
    <comment ref="BV55" authorId="0" shapeId="0" xr:uid="{00000000-0006-0000-0000-00009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437</t>
        </r>
      </text>
    </comment>
    <comment ref="BZ55" authorId="0" shapeId="0" xr:uid="{00000000-0006-0000-0000-00009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458</t>
        </r>
      </text>
    </comment>
    <comment ref="CD55" authorId="0" shapeId="0" xr:uid="{00000000-0006-0000-0000-00009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3809</t>
        </r>
      </text>
    </comment>
    <comment ref="CH55" authorId="0" shapeId="0" xr:uid="{00000000-0006-0000-0000-00009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3831</t>
        </r>
      </text>
    </comment>
    <comment ref="CO55" authorId="0" shapeId="0" xr:uid="{468D8B45-8B5B-4DA6-B224-238A377C93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3882</t>
        </r>
      </text>
    </comment>
    <comment ref="CQ55" authorId="0" shapeId="0" xr:uid="{9BC79559-2E16-466D-B13B-D875B213D6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801</t>
        </r>
      </text>
    </comment>
    <comment ref="BC56" authorId="0" shapeId="0" xr:uid="{00000000-0006-0000-0000-00009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4893</t>
        </r>
      </text>
    </comment>
    <comment ref="BF56" authorId="0" shapeId="0" xr:uid="{00000000-0006-0000-0000-0000A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308</t>
        </r>
      </text>
    </comment>
    <comment ref="BI56" authorId="0" shapeId="0" xr:uid="{00000000-0006-0000-0000-0000A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343</t>
        </r>
      </text>
    </comment>
    <comment ref="BL56" authorId="0" shapeId="0" xr:uid="{00000000-0006-0000-0000-0000A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375</t>
        </r>
      </text>
    </comment>
    <comment ref="BO56" authorId="0" shapeId="0" xr:uid="{00000000-0006-0000-0000-0000A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</t>
        </r>
      </text>
    </comment>
    <comment ref="BR56" authorId="0" shapeId="0" xr:uid="{00000000-0006-0000-0000-0000A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399</t>
        </r>
      </text>
    </comment>
    <comment ref="BU56" authorId="0" shapeId="0" xr:uid="{00000000-0006-0000-0000-0000A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425</t>
        </r>
      </text>
    </comment>
    <comment ref="BX56" authorId="0" shapeId="0" xr:uid="{00000000-0006-0000-0000-0000A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454</t>
        </r>
      </text>
    </comment>
    <comment ref="CA56" authorId="0" shapeId="0" xr:uid="{00000000-0006-0000-0000-0000A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478</t>
        </r>
      </text>
    </comment>
    <comment ref="CD56" authorId="0" shapeId="0" xr:uid="{00000000-0006-0000-0000-0000A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3810</t>
        </r>
      </text>
    </comment>
    <comment ref="CG56" authorId="0" shapeId="0" xr:uid="{00000000-0006-0000-0000-0000A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3832</t>
        </r>
      </text>
    </comment>
    <comment ref="CQ56" authorId="0" shapeId="0" xr:uid="{819D84C2-9B0B-4022-B5A7-BF8D3A5D40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3883</t>
        </r>
      </text>
    </comment>
    <comment ref="CR56" authorId="0" shapeId="0" xr:uid="{C1D6BE31-28E6-40A4-A22C-6E4DA535CB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3893</t>
        </r>
      </text>
    </comment>
    <comment ref="CS56" authorId="0" shapeId="0" xr:uid="{AE477968-D4B2-41A5-B2D7-36FF1F9EF1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755</t>
        </r>
      </text>
    </comment>
    <comment ref="BC57" authorId="0" shapeId="0" xr:uid="{00000000-0006-0000-0000-0000A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3565</t>
        </r>
      </text>
    </comment>
    <comment ref="BG57" authorId="0" shapeId="0" xr:uid="{00000000-0006-0000-0000-0000A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316</t>
        </r>
      </text>
    </comment>
    <comment ref="BK57" authorId="0" shapeId="0" xr:uid="{00000000-0006-0000-0000-0000A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342</t>
        </r>
      </text>
    </comment>
    <comment ref="BO57" authorId="0" shapeId="0" xr:uid="{00000000-0006-0000-0000-0000A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Rceipt No. 377</t>
        </r>
      </text>
    </comment>
    <comment ref="BR57" authorId="0" shapeId="0" xr:uid="{00000000-0006-0000-0000-0000A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405</t>
        </r>
      </text>
    </comment>
    <comment ref="BW57" authorId="0" shapeId="0" xr:uid="{00000000-0006-0000-0000-0000A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450</t>
        </r>
      </text>
    </comment>
    <comment ref="CA57" authorId="0" shapeId="0" xr:uid="{00000000-0006-0000-0000-0000B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476</t>
        </r>
      </text>
    </comment>
    <comment ref="CE57" authorId="0" shapeId="0" xr:uid="{00000000-0006-0000-0000-0000B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3819</t>
        </r>
      </text>
    </comment>
    <comment ref="CH57" authorId="0" shapeId="0" xr:uid="{00000000-0006-0000-0000-0000B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3837</t>
        </r>
      </text>
    </comment>
    <comment ref="CJ57" authorId="0" shapeId="0" xr:uid="{EE89DB60-E60D-43AE-8884-C381180EB4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3861</t>
        </r>
      </text>
    </comment>
    <comment ref="CV57" authorId="0" shapeId="0" xr:uid="{83F29589-8794-4908-BB25-F5B78E94C4C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3871</t>
        </r>
      </text>
    </comment>
    <comment ref="BB58" authorId="0" shapeId="0" xr:uid="{00000000-0006-0000-0000-0000B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4899</t>
        </r>
      </text>
    </comment>
    <comment ref="BD58" authorId="0" shapeId="0" xr:uid="{00000000-0006-0000-0000-0000B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4887</t>
        </r>
      </text>
    </comment>
    <comment ref="BF58" authorId="0" shapeId="0" xr:uid="{00000000-0006-0000-0000-0000B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4899</t>
        </r>
      </text>
    </comment>
    <comment ref="BI58" authorId="0" shapeId="0" xr:uid="{00000000-0006-0000-0000-0000B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337</t>
        </r>
      </text>
    </comment>
    <comment ref="BM58" authorId="0" shapeId="0" xr:uid="{00000000-0006-0000-0000-0000B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373</t>
        </r>
      </text>
    </comment>
    <comment ref="BQ58" authorId="0" shapeId="0" xr:uid="{00000000-0006-0000-0000-0000B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402</t>
        </r>
      </text>
    </comment>
    <comment ref="BW58" authorId="0" shapeId="0" xr:uid="{00000000-0006-0000-0000-0000B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429</t>
        </r>
      </text>
    </comment>
    <comment ref="CA58" authorId="0" shapeId="0" xr:uid="{00000000-0006-0000-0000-0000B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459</t>
        </r>
      </text>
    </comment>
    <comment ref="CE58" authorId="0" shapeId="0" xr:uid="{00000000-0006-0000-0000-0000B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486</t>
        </r>
      </text>
    </comment>
    <comment ref="CO58" authorId="0" shapeId="0" xr:uid="{89B5D2C8-2F9F-43DD-8CEB-7F2A3004C5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3872</t>
        </r>
      </text>
    </comment>
    <comment ref="BQ59" authorId="0" shapeId="0" xr:uid="{00000000-0006-0000-0000-0000B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</t>
        </r>
      </text>
    </comment>
    <comment ref="BY59" authorId="0" shapeId="0" xr:uid="{00000000-0006-0000-0000-0000B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460</t>
        </r>
      </text>
    </comment>
    <comment ref="CA59" authorId="0" shapeId="0" xr:uid="{00000000-0006-0000-0000-0000B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485</t>
        </r>
      </text>
    </comment>
    <comment ref="CC59" authorId="0" shapeId="0" xr:uid="{00000000-0006-0000-0000-0000B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193</t>
        </r>
      </text>
    </comment>
    <comment ref="CE59" authorId="0" shapeId="0" xr:uid="{00000000-0006-0000-0000-0000C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3820</t>
        </r>
      </text>
    </comment>
    <comment ref="CM59" authorId="0" shapeId="0" xr:uid="{3D6FA583-433A-42D6-BB11-7A171F6B1C5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3884</t>
        </r>
      </text>
    </comment>
    <comment ref="CR59" authorId="0" shapeId="0" xr:uid="{1DAA80A9-BAC3-4451-9BBE-4E910475EE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802</t>
        </r>
      </text>
    </comment>
    <comment ref="BD60" authorId="0" shapeId="0" xr:uid="{00000000-0006-0000-0000-0000C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4882</t>
        </r>
      </text>
    </comment>
    <comment ref="BL60" authorId="0" shapeId="0" xr:uid="{00000000-0006-0000-0000-0000C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332</t>
        </r>
      </text>
    </comment>
    <comment ref="BR60" authorId="0" shapeId="0" xr:uid="{00000000-0006-0000-0000-0000C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355</t>
        </r>
      </text>
    </comment>
    <comment ref="CA60" authorId="0" shapeId="0" xr:uid="{00000000-0006-0000-0000-0000C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482</t>
        </r>
      </text>
    </comment>
    <comment ref="CD60" authorId="0" shapeId="0" xr:uid="{00000000-0006-0000-0000-0000C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496</t>
        </r>
      </text>
    </comment>
    <comment ref="CJ60" authorId="0" shapeId="0" xr:uid="{00000000-0006-0000-0000-0000C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3838</t>
        </r>
      </text>
    </comment>
    <comment ref="CP60" authorId="0" shapeId="0" xr:uid="{27A82C1E-C088-4055-B7DA-D225DCDC11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3870</t>
        </r>
      </text>
    </comment>
    <comment ref="BM61" authorId="0" shapeId="0" xr:uid="{00000000-0006-0000-0000-0000C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4900</t>
        </r>
      </text>
    </comment>
    <comment ref="BX61" authorId="0" shapeId="0" xr:uid="{00000000-0006-0000-0000-0000C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</t>
        </r>
      </text>
    </comment>
    <comment ref="CI61" authorId="0" shapeId="0" xr:uid="{00000000-0006-0000-0000-0000C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</t>
        </r>
      </text>
    </comment>
    <comment ref="CP61" authorId="0" shapeId="0" xr:uid="{9A998821-2885-4006-99AE-C854A69447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3865</t>
        </r>
      </text>
    </comment>
    <comment ref="BC62" authorId="0" shapeId="0" xr:uid="{00000000-0006-0000-0000-0000C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3566</t>
        </r>
      </text>
    </comment>
    <comment ref="BK62" authorId="0" shapeId="0" xr:uid="{00000000-0006-0000-0000-0000C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324</t>
        </r>
      </text>
    </comment>
    <comment ref="BN62" authorId="0" shapeId="0" xr:uid="{00000000-0006-0000-0000-0000C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380</t>
        </r>
      </text>
    </comment>
    <comment ref="BS62" authorId="0" shapeId="0" xr:uid="{00000000-0006-0000-0000-0000C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420</t>
        </r>
      </text>
    </comment>
    <comment ref="BV62" authorId="0" shapeId="0" xr:uid="{00000000-0006-0000-0000-0000C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438</t>
        </r>
      </text>
    </comment>
    <comment ref="CE62" authorId="0" shapeId="0" xr:uid="{00000000-0006-0000-0000-0000C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3821</t>
        </r>
      </text>
    </comment>
    <comment ref="CI62" authorId="0" shapeId="0" xr:uid="{00000000-0006-0000-0000-0000D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</t>
        </r>
      </text>
    </comment>
    <comment ref="CP62" authorId="0" shapeId="0" xr:uid="{E7ACA7FA-DC9C-47D0-A955-15FCE29666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3886</t>
        </r>
      </text>
    </comment>
    <comment ref="CS62" authorId="0" shapeId="0" xr:uid="{3F477265-7623-4976-BB79-72E68A633B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803</t>
        </r>
      </text>
    </comment>
    <comment ref="L63" authorId="0" shapeId="0" xr:uid="{00000000-0006-0000-0000-0000D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3734</t>
        </r>
      </text>
    </comment>
    <comment ref="AZ63" authorId="0" shapeId="0" xr:uid="{00000000-0006-0000-0000-0000D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3558</t>
        </r>
      </text>
    </comment>
    <comment ref="BB63" authorId="0" shapeId="0" xr:uid="{00000000-0006-0000-0000-0000D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3561</t>
        </r>
      </text>
    </comment>
    <comment ref="BC63" authorId="0" shapeId="0" xr:uid="{00000000-0006-0000-0000-0000D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206</t>
        </r>
      </text>
    </comment>
    <comment ref="BD63" authorId="0" shapeId="0" xr:uid="{00000000-0006-0000-0000-0000D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4876</t>
        </r>
      </text>
    </comment>
    <comment ref="BE63" authorId="0" shapeId="0" xr:uid="{00000000-0006-0000-0000-0000D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301</t>
        </r>
      </text>
    </comment>
    <comment ref="BF63" authorId="0" shapeId="0" xr:uid="{00000000-0006-0000-0000-0000D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309</t>
        </r>
      </text>
    </comment>
    <comment ref="BG63" authorId="0" shapeId="0" xr:uid="{00000000-0006-0000-0000-0000D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317</t>
        </r>
      </text>
    </comment>
    <comment ref="BH63" authorId="0" shapeId="0" xr:uid="{00000000-0006-0000-0000-0000D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336</t>
        </r>
      </text>
    </comment>
    <comment ref="BI63" authorId="0" shapeId="0" xr:uid="{00000000-0006-0000-0000-0000D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346</t>
        </r>
      </text>
    </comment>
    <comment ref="BL63" authorId="0" shapeId="0" xr:uid="{00000000-0006-0000-0000-0000D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358</t>
        </r>
      </text>
    </comment>
    <comment ref="BN63" authorId="0" shapeId="0" xr:uid="{00000000-0006-0000-0000-0000D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</t>
        </r>
      </text>
    </comment>
    <comment ref="BO63" authorId="0" shapeId="0" xr:uid="{00000000-0006-0000-0000-0000D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</t>
        </r>
      </text>
    </comment>
    <comment ref="BP63" authorId="0" shapeId="0" xr:uid="{00000000-0006-0000-0000-0000D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396</t>
        </r>
      </text>
    </comment>
    <comment ref="BQ63" authorId="0" shapeId="0" xr:uid="{00000000-0006-0000-0000-0000D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397</t>
        </r>
      </text>
    </comment>
    <comment ref="BS63" authorId="0" shapeId="0" xr:uid="{00000000-0006-0000-0000-0000E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426</t>
        </r>
      </text>
    </comment>
    <comment ref="BU63" authorId="0" shapeId="0" xr:uid="{00000000-0006-0000-0000-0000E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442</t>
        </r>
      </text>
    </comment>
    <comment ref="BV63" authorId="0" shapeId="0" xr:uid="{00000000-0006-0000-0000-0000E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452</t>
        </r>
      </text>
    </comment>
    <comment ref="BX63" authorId="0" shapeId="0" xr:uid="{00000000-0006-0000-0000-0000E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461</t>
        </r>
      </text>
    </comment>
    <comment ref="BZ63" authorId="0" shapeId="0" xr:uid="{00000000-0006-0000-0000-0000E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473</t>
        </r>
      </text>
    </comment>
    <comment ref="CB63" authorId="0" shapeId="0" xr:uid="{00000000-0006-0000-0000-0000E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</t>
        </r>
      </text>
    </comment>
    <comment ref="CG63" authorId="0" shapeId="0" xr:uid="{00000000-0006-0000-0000-0000E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3839</t>
        </r>
      </text>
    </comment>
    <comment ref="CN63" authorId="0" shapeId="0" xr:uid="{929529C4-D40B-45CA-ADAC-55F7EE74AA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3892</t>
        </r>
      </text>
    </comment>
    <comment ref="AQ64" authorId="0" shapeId="0" xr:uid="{00000000-0006-0000-0000-0000E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4883</t>
        </r>
      </text>
    </comment>
    <comment ref="BD64" authorId="0" shapeId="0" xr:uid="{00000000-0006-0000-0000-0000E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4883</t>
        </r>
      </text>
    </comment>
    <comment ref="BH64" authorId="0" shapeId="0" xr:uid="{00000000-0006-0000-0000-0000E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318</t>
        </r>
      </text>
    </comment>
    <comment ref="BI64" authorId="0" shapeId="0" xr:uid="{00000000-0006-0000-0000-0000E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338</t>
        </r>
      </text>
    </comment>
    <comment ref="BO64" authorId="0" shapeId="0" xr:uid="{00000000-0006-0000-0000-0000E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390</t>
        </r>
      </text>
    </comment>
    <comment ref="BP64" authorId="0" shapeId="0" xr:uid="{00000000-0006-0000-0000-0000E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404</t>
        </r>
      </text>
    </comment>
    <comment ref="BQ64" authorId="0" shapeId="0" xr:uid="{00000000-0006-0000-0000-0000E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433</t>
        </r>
      </text>
    </comment>
    <comment ref="BR64" authorId="0" shapeId="0" xr:uid="{00000000-0006-0000-0000-0000E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433</t>
        </r>
      </text>
    </comment>
    <comment ref="BU64" authorId="0" shapeId="0" xr:uid="{00000000-0006-0000-0000-0000E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434</t>
        </r>
      </text>
    </comment>
    <comment ref="BV64" authorId="0" shapeId="0" xr:uid="{00000000-0006-0000-0000-0000F0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435</t>
        </r>
      </text>
    </comment>
    <comment ref="BX64" authorId="0" shapeId="0" xr:uid="{00000000-0006-0000-0000-0000F1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436</t>
        </r>
      </text>
    </comment>
    <comment ref="BZ64" authorId="0" shapeId="0" xr:uid="{00000000-0006-0000-0000-0000F2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491</t>
        </r>
      </text>
    </comment>
    <comment ref="CB64" authorId="0" shapeId="0" xr:uid="{00000000-0006-0000-0000-0000F3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492</t>
        </r>
      </text>
    </comment>
    <comment ref="CE64" authorId="0" shapeId="0" xr:uid="{00000000-0006-0000-0000-0000F4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3822</t>
        </r>
      </text>
    </comment>
    <comment ref="CG64" authorId="0" shapeId="0" xr:uid="{00000000-0006-0000-0000-0000F5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3835</t>
        </r>
      </text>
    </comment>
    <comment ref="CJ64" authorId="0" shapeId="0" xr:uid="{FD1E8567-C451-4177-BC62-950DF05E21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3890</t>
        </r>
      </text>
    </comment>
    <comment ref="BR65" authorId="0" shapeId="0" xr:uid="{00000000-0006-0000-0000-0000F6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315</t>
        </r>
      </text>
    </comment>
    <comment ref="CD65" authorId="0" shapeId="0" xr:uid="{00000000-0006-0000-0000-0000F7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422</t>
        </r>
      </text>
    </comment>
    <comment ref="CP65" authorId="0" shapeId="0" xr:uid="{00000000-0006-0000-0000-0000F8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3828</t>
        </r>
      </text>
    </comment>
    <comment ref="DB65" authorId="0" shapeId="0" xr:uid="{65C1FC2F-4E71-4494-A596-497F3B4841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756</t>
        </r>
      </text>
    </comment>
    <comment ref="BB66" authorId="0" shapeId="0" xr:uid="{00000000-0006-0000-0000-0000F9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3563</t>
        </r>
      </text>
    </comment>
    <comment ref="BD66" authorId="0" shapeId="0" xr:uid="{00000000-0006-0000-0000-0000FA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4877</t>
        </r>
      </text>
    </comment>
    <comment ref="BH66" authorId="0" shapeId="0" xr:uid="{00000000-0006-0000-0000-0000FB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314</t>
        </r>
      </text>
    </comment>
    <comment ref="BK66" authorId="0" shapeId="0" xr:uid="{00000000-0006-0000-0000-0000FC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347</t>
        </r>
      </text>
    </comment>
    <comment ref="BN66" authorId="0" shapeId="0" xr:uid="{00000000-0006-0000-0000-0000FD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376</t>
        </r>
      </text>
    </comment>
    <comment ref="BQ66" authorId="0" shapeId="0" xr:uid="{00000000-0006-0000-0000-0000FE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400</t>
        </r>
      </text>
    </comment>
    <comment ref="BT66" authorId="0" shapeId="0" xr:uid="{00000000-0006-0000-0000-0000FF01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415</t>
        </r>
      </text>
    </comment>
    <comment ref="BW66" authorId="0" shapeId="0" xr:uid="{00000000-0006-0000-0000-00000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439</t>
        </r>
      </text>
    </comment>
    <comment ref="CA66" authorId="0" shapeId="0" xr:uid="{00000000-0006-0000-0000-00000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474</t>
        </r>
      </text>
    </comment>
    <comment ref="CD66" authorId="0" shapeId="0" xr:uid="{00000000-0006-0000-0000-00000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3815</t>
        </r>
      </text>
    </comment>
    <comment ref="CH66" authorId="0" shapeId="0" xr:uid="{00000000-0006-0000-0000-00000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3833</t>
        </r>
      </text>
    </comment>
    <comment ref="CM66" authorId="0" shapeId="0" xr:uid="{9A0269B2-4BBE-49C8-83F5-AF9956088D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3868</t>
        </r>
      </text>
    </comment>
    <comment ref="CR66" authorId="0" shapeId="0" xr:uid="{1C250306-F129-47E8-BC01-0777852F1B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3885</t>
        </r>
      </text>
    </comment>
    <comment ref="BB67" authorId="0" shapeId="0" xr:uid="{00000000-0006-0000-0000-00000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3562</t>
        </r>
      </text>
    </comment>
    <comment ref="BE67" authorId="0" shapeId="0" xr:uid="{00000000-0006-0000-0000-00000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4884</t>
        </r>
      </text>
    </comment>
    <comment ref="BH67" authorId="0" shapeId="0" xr:uid="{00000000-0006-0000-0000-00000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319</t>
        </r>
      </text>
    </comment>
    <comment ref="BK67" authorId="0" shapeId="0" xr:uid="{00000000-0006-0000-0000-00000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333</t>
        </r>
      </text>
    </comment>
    <comment ref="BN67" authorId="0" shapeId="0" xr:uid="{00000000-0006-0000-0000-00000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372</t>
        </r>
      </text>
    </comment>
    <comment ref="BR67" authorId="0" shapeId="0" xr:uid="{00000000-0006-0000-0000-00000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401</t>
        </r>
      </text>
    </comment>
    <comment ref="BU67" authorId="0" shapeId="0" xr:uid="{00000000-0006-0000-0000-00000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427</t>
        </r>
      </text>
    </comment>
    <comment ref="BX67" authorId="0" shapeId="0" xr:uid="{00000000-0006-0000-0000-00000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430</t>
        </r>
      </text>
    </comment>
    <comment ref="CA67" authorId="0" shapeId="0" xr:uid="{00000000-0006-0000-0000-00000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462</t>
        </r>
      </text>
    </comment>
    <comment ref="CD67" authorId="0" shapeId="0" xr:uid="{00000000-0006-0000-0000-00000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493</t>
        </r>
      </text>
    </comment>
    <comment ref="CG67" authorId="0" shapeId="0" xr:uid="{00000000-0006-0000-0000-00000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3823</t>
        </r>
      </text>
    </comment>
    <comment ref="CJ67" authorId="0" shapeId="0" xr:uid="{00000000-0006-0000-0000-00000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3840</t>
        </r>
      </text>
    </comment>
    <comment ref="CP67" authorId="0" shapeId="0" xr:uid="{D5B74FFE-BCAA-4469-A658-585C1F899B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3867</t>
        </r>
      </text>
    </comment>
    <comment ref="CS67" authorId="0" shapeId="0" xr:uid="{7DBDA11E-A918-4B8E-A97A-90200947BF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804</t>
        </r>
      </text>
    </comment>
    <comment ref="BB68" authorId="0" shapeId="0" xr:uid="{00000000-0006-0000-0000-00001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4874</t>
        </r>
      </text>
    </comment>
    <comment ref="BH68" authorId="0" shapeId="0" xr:uid="{00000000-0006-0000-0000-00001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329</t>
        </r>
      </text>
    </comment>
    <comment ref="BK68" authorId="0" shapeId="0" xr:uid="{00000000-0006-0000-0000-00001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348</t>
        </r>
      </text>
    </comment>
    <comment ref="BM68" authorId="0" shapeId="0" xr:uid="{00000000-0006-0000-0000-00001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363</t>
        </r>
      </text>
    </comment>
    <comment ref="BO68" authorId="0" shapeId="0" xr:uid="{00000000-0006-0000-0000-00001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</t>
        </r>
      </text>
    </comment>
    <comment ref="BQ68" authorId="0" shapeId="0" xr:uid="{00000000-0006-0000-0000-00001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391</t>
        </r>
      </text>
    </comment>
    <comment ref="BS68" authorId="0" shapeId="0" xr:uid="{00000000-0006-0000-0000-00001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407</t>
        </r>
      </text>
    </comment>
    <comment ref="BU68" authorId="0" shapeId="0" xr:uid="{00000000-0006-0000-0000-00001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431</t>
        </r>
      </text>
    </comment>
    <comment ref="BW68" authorId="0" shapeId="0" xr:uid="{00000000-0006-0000-0000-00001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449</t>
        </r>
      </text>
    </comment>
    <comment ref="BY68" authorId="0" shapeId="0" xr:uid="{00000000-0006-0000-0000-00001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463</t>
        </r>
      </text>
    </comment>
    <comment ref="CA68" authorId="0" shapeId="0" xr:uid="{00000000-0006-0000-0000-00001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479</t>
        </r>
      </text>
    </comment>
    <comment ref="CC68" authorId="0" shapeId="0" xr:uid="{00000000-0006-0000-0000-00001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497</t>
        </r>
      </text>
    </comment>
    <comment ref="CF68" authorId="0" shapeId="0" xr:uid="{00000000-0006-0000-0000-00001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3841</t>
        </r>
      </text>
    </comment>
    <comment ref="CK68" authorId="0" shapeId="0" xr:uid="{665ADB2F-08BD-48AA-A6C7-6E857C4F2C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3889</t>
        </r>
      </text>
    </comment>
    <comment ref="CL68" authorId="0" shapeId="0" xr:uid="{251704E5-97D8-462D-B1A2-747CBE13F3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IMPS 907410</t>
        </r>
      </text>
    </comment>
    <comment ref="W70" authorId="0" shapeId="0" xr:uid="{00000000-0006-0000-0000-00001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4881</t>
        </r>
      </text>
    </comment>
    <comment ref="Z70" authorId="0" shapeId="0" xr:uid="{00000000-0006-0000-0000-00001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4886</t>
        </r>
      </text>
    </comment>
    <comment ref="AE70" authorId="0" shapeId="0" xr:uid="{00000000-0006-0000-0000-00001F020000}">
      <text>
        <r>
          <rPr>
            <b/>
            <sz val="9"/>
            <color indexed="81"/>
            <rFont val="Tahoma"/>
            <charset val="1"/>
          </rPr>
          <t>User:
Receipt No. 
Receipt No. 365</t>
        </r>
        <r>
          <rPr>
            <sz val="9"/>
            <color indexed="81"/>
            <rFont val="Tahoma"/>
            <charset val="1"/>
          </rPr>
          <t xml:space="preserve">
CBC - 350/-</t>
        </r>
      </text>
    </comment>
    <comment ref="AJ70" authorId="0" shapeId="0" xr:uid="{00000000-0006-0000-0000-00002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378</t>
        </r>
      </text>
    </comment>
    <comment ref="AO70" authorId="0" shapeId="0" xr:uid="{00000000-0006-0000-0000-00002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408</t>
        </r>
      </text>
    </comment>
    <comment ref="CP70" authorId="0" shapeId="0" xr:uid="{C251E358-B3FD-4B7D-867A-9A2EE96DAC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3879</t>
        </r>
      </text>
    </comment>
    <comment ref="AJ71" authorId="0" shapeId="0" xr:uid="{00000000-0006-0000-0000-00002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4885</t>
        </r>
      </text>
    </comment>
    <comment ref="AV71" authorId="0" shapeId="0" xr:uid="{00000000-0006-0000-0000-00002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4885
Receipt No. 302</t>
        </r>
      </text>
    </comment>
    <comment ref="BG71" authorId="0" shapeId="0" xr:uid="{00000000-0006-0000-0000-00002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302
Late payment=600/-</t>
        </r>
      </text>
    </comment>
    <comment ref="BL71" authorId="0" shapeId="0" xr:uid="{00000000-0006-0000-0000-00002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368</t>
        </r>
      </text>
    </comment>
    <comment ref="BP71" authorId="0" shapeId="0" xr:uid="{00000000-0006-0000-0000-00002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398</t>
        </r>
      </text>
    </comment>
    <comment ref="CA71" authorId="0" shapeId="0" xr:uid="{00000000-0006-0000-0000-00002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416</t>
        </r>
      </text>
    </comment>
    <comment ref="CG71" authorId="0" shapeId="0" xr:uid="{00000000-0006-0000-0000-00002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3811</t>
        </r>
      </text>
    </comment>
    <comment ref="CJ71" authorId="0" shapeId="0" xr:uid="{00000000-0006-0000-0000-00002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3846</t>
        </r>
      </text>
    </comment>
    <comment ref="CK71" authorId="0" shapeId="0" xr:uid="{04A3088E-1C34-4A84-AA71-F7BC2E917A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3897</t>
        </r>
      </text>
    </comment>
    <comment ref="BB72" authorId="0" shapeId="0" xr:uid="{00000000-0006-0000-0000-00002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3568</t>
        </r>
      </text>
    </comment>
    <comment ref="BF72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306</t>
        </r>
      </text>
    </comment>
    <comment ref="BH72" authorId="0" shapeId="0" xr:uid="{00000000-0006-0000-0000-00002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325</t>
        </r>
      </text>
    </comment>
    <comment ref="BJ72" authorId="0" shapeId="0" xr:uid="{00000000-0006-0000-0000-00002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344</t>
        </r>
      </text>
    </comment>
    <comment ref="BL72" authorId="0" shapeId="0" xr:uid="{00000000-0006-0000-0000-00002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359</t>
        </r>
      </text>
    </comment>
    <comment ref="BR72" authorId="0" shapeId="0" xr:uid="{00000000-0006-0000-0000-00002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410</t>
        </r>
      </text>
    </comment>
    <comment ref="BV72" authorId="0" shapeId="0" xr:uid="{00000000-0006-0000-0000-00003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443</t>
        </r>
      </text>
    </comment>
    <comment ref="CB72" authorId="0" shapeId="0" xr:uid="{00000000-0006-0000-0000-00003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</t>
        </r>
      </text>
    </comment>
    <comment ref="CH72" authorId="0" shapeId="0" xr:uid="{00000000-0006-0000-0000-00003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719</t>
        </r>
      </text>
    </comment>
    <comment ref="CJ72" authorId="0" shapeId="0" xr:uid="{00000000-0006-0000-0000-00003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3847</t>
        </r>
      </text>
    </comment>
    <comment ref="CO72" authorId="0" shapeId="0" xr:uid="{90BE48B6-261C-4C65-AA87-97277DDF4B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3862</t>
        </r>
      </text>
    </comment>
    <comment ref="W73" authorId="0" shapeId="0" xr:uid="{00000000-0006-0000-0000-00003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X73" authorId="0" shapeId="0" xr:uid="{00000000-0006-0000-0000-00003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Y73" authorId="0" shapeId="0" xr:uid="{00000000-0006-0000-0000-00003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Z73" authorId="0" shapeId="0" xr:uid="{00000000-0006-0000-0000-00003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A73" authorId="0" shapeId="0" xr:uid="{00000000-0006-0000-0000-00003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B73" authorId="0" shapeId="0" xr:uid="{00000000-0006-0000-0000-00003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C73" authorId="0" shapeId="0" xr:uid="{00000000-0006-0000-0000-00003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D73" authorId="0" shapeId="0" xr:uid="{00000000-0006-0000-0000-00003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F73" authorId="0" shapeId="0" xr:uid="{00000000-0006-0000-0000-00003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G73" authorId="0" shapeId="0" xr:uid="{00000000-0006-0000-0000-00003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110</t>
        </r>
      </text>
    </comment>
    <comment ref="AH73" authorId="0" shapeId="0" xr:uid="{00000000-0006-0000-0000-00003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I73" authorId="0" shapeId="0" xr:uid="{00000000-0006-0000-0000-00003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J73" authorId="0" shapeId="0" xr:uid="{00000000-0006-0000-0000-00004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K73" authorId="0" shapeId="0" xr:uid="{00000000-0006-0000-0000-00004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L73" authorId="0" shapeId="0" xr:uid="{00000000-0006-0000-0000-00004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M73" authorId="0" shapeId="0" xr:uid="{00000000-0006-0000-0000-00004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N73" authorId="0" shapeId="0" xr:uid="{00000000-0006-0000-0000-00004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O73" authorId="0" shapeId="0" xr:uid="{00000000-0006-0000-0000-00004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P73" authorId="0" shapeId="0" xr:uid="{00000000-0006-0000-0000-00004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Q73" authorId="0" shapeId="0" xr:uid="{00000000-0006-0000-0000-00004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R73" authorId="0" shapeId="0" xr:uid="{00000000-0006-0000-0000-00004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S73" authorId="0" shapeId="0" xr:uid="{00000000-0006-0000-0000-00004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T73" authorId="0" shapeId="0" xr:uid="{00000000-0006-0000-0000-00004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U73" authorId="0" shapeId="0" xr:uid="{00000000-0006-0000-0000-00004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V73" authorId="0" shapeId="0" xr:uid="{00000000-0006-0000-0000-00004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AW73" authorId="0" shapeId="0" xr:uid="{00000000-0006-0000-0000-00004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
Received Rs. 80</t>
        </r>
      </text>
    </comment>
    <comment ref="BH73" authorId="0" shapeId="0" xr:uid="{00000000-0006-0000-0000-00004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322
Receipt No. 369</t>
        </r>
      </text>
    </comment>
    <comment ref="BM73" authorId="0" shapeId="0" xr:uid="{00000000-0006-0000-0000-00004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369</t>
        </r>
      </text>
    </comment>
    <comment ref="BT73" authorId="0" shapeId="0" xr:uid="{00000000-0006-0000-0000-00005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417
Receipt No. 440</t>
        </r>
      </text>
    </comment>
    <comment ref="BU73" authorId="0" shapeId="0" xr:uid="{00000000-0006-0000-0000-00005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440</t>
        </r>
      </text>
    </comment>
    <comment ref="CF73" authorId="0" shapeId="0" xr:uid="{00000000-0006-0000-0000-00005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3824</t>
        </r>
      </text>
    </comment>
    <comment ref="CL73" authorId="0" shapeId="0" xr:uid="{DA728FCD-7707-4736-8391-7ACDF5357B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3880</t>
        </r>
      </text>
    </comment>
    <comment ref="CQ73" authorId="0" shapeId="0" xr:uid="{D7A19CD2-D8A9-41E6-AC49-29E66C47E2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3894</t>
        </r>
      </text>
    </comment>
    <comment ref="BB74" authorId="0" shapeId="0" xr:uid="{00000000-0006-0000-0000-00005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4890</t>
        </r>
      </text>
    </comment>
    <comment ref="BH74" authorId="0" shapeId="0" xr:uid="{00000000-0006-0000-0000-00005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327</t>
        </r>
      </text>
    </comment>
    <comment ref="BL74" authorId="0" shapeId="0" xr:uid="{00000000-0006-0000-0000-00005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</t>
        </r>
      </text>
    </comment>
    <comment ref="BR74" authorId="0" shapeId="0" xr:uid="{00000000-0006-0000-0000-00005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393</t>
        </r>
      </text>
    </comment>
    <comment ref="BX74" authorId="0" shapeId="0" xr:uid="{00000000-0006-0000-0000-00005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457</t>
        </r>
      </text>
    </comment>
    <comment ref="CD74" authorId="0" shapeId="0" xr:uid="{00000000-0006-0000-0000-00005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3825</t>
        </r>
      </text>
    </comment>
    <comment ref="CJ74" authorId="0" shapeId="0" xr:uid="{00000000-0006-0000-0000-00005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3849</t>
        </r>
      </text>
    </comment>
    <comment ref="CV74" authorId="0" shapeId="0" xr:uid="{2D0DC486-F429-49E5-9C8D-E64B706171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805</t>
        </r>
      </text>
    </comment>
    <comment ref="BB75" authorId="0" shapeId="0" xr:uid="{00000000-0006-0000-0000-00005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209</t>
        </r>
      </text>
    </comment>
    <comment ref="BF75" authorId="0" shapeId="0" xr:uid="{00000000-0006-0000-0000-00005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303</t>
        </r>
      </text>
    </comment>
    <comment ref="BL75" authorId="0" shapeId="0" xr:uid="{00000000-0006-0000-0000-00005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</t>
        </r>
      </text>
    </comment>
    <comment ref="BP75" authorId="0" shapeId="0" xr:uid="{00000000-0006-0000-0000-00005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418</t>
        </r>
      </text>
    </comment>
    <comment ref="BV75" authorId="0" shapeId="0" xr:uid="{00000000-0006-0000-0000-00005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483</t>
        </r>
      </text>
    </comment>
    <comment ref="BZ75" authorId="0" shapeId="0" xr:uid="{00000000-0006-0000-0000-00005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3816</t>
        </r>
      </text>
    </comment>
    <comment ref="CD75" authorId="0" shapeId="0" xr:uid="{00000000-0006-0000-0000-00006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720</t>
        </r>
      </text>
    </comment>
    <comment ref="CJ75" authorId="0" shapeId="0" xr:uid="{00000000-0006-0000-0000-00006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3851</t>
        </r>
      </text>
    </comment>
    <comment ref="CO75" authorId="0" shapeId="0" xr:uid="{E639D40E-259C-4365-93A6-9A19CF57CC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3863</t>
        </r>
      </text>
    </comment>
    <comment ref="CQ75" authorId="0" shapeId="0" xr:uid="{0EDF3252-158A-44D8-AF0A-C5F97EB811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3898</t>
        </r>
      </text>
    </comment>
    <comment ref="BL76" authorId="0" shapeId="0" xr:uid="{00000000-0006-0000-0000-00006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323</t>
        </r>
      </text>
    </comment>
    <comment ref="BR76" authorId="0" shapeId="0" xr:uid="{00000000-0006-0000-0000-00006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394</t>
        </r>
      </text>
    </comment>
    <comment ref="CD76" authorId="0" shapeId="0" xr:uid="{00000000-0006-0000-0000-00006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3814</t>
        </r>
      </text>
    </comment>
    <comment ref="CJ76" authorId="0" shapeId="0" xr:uid="{00000000-0006-0000-0000-00006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3842
Receipt No. 3852</t>
        </r>
      </text>
    </comment>
    <comment ref="CV76" authorId="0" shapeId="0" xr:uid="{55705762-8FB8-42BC-A6E5-FCD57C8FBE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806</t>
        </r>
      </text>
    </comment>
    <comment ref="BB77" authorId="0" shapeId="0" xr:uid="{00000000-0006-0000-0000-00006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208</t>
        </r>
      </text>
    </comment>
    <comment ref="BH77" authorId="0" shapeId="0" xr:uid="{00000000-0006-0000-0000-00006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328</t>
        </r>
      </text>
    </comment>
    <comment ref="CA77" authorId="0" shapeId="0" xr:uid="{00000000-0006-0000-0000-00006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472</t>
        </r>
      </text>
    </comment>
    <comment ref="CB77" authorId="0" shapeId="0" xr:uid="{00000000-0006-0000-0000-00006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490</t>
        </r>
      </text>
    </comment>
    <comment ref="CC77" authorId="0" shapeId="0" xr:uid="{00000000-0006-0000-0000-00006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494</t>
        </r>
      </text>
    </comment>
    <comment ref="CD77" authorId="0" shapeId="0" xr:uid="{00000000-0006-0000-0000-00006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498</t>
        </r>
      </text>
    </comment>
    <comment ref="CI77" authorId="0" shapeId="0" xr:uid="{00000000-0006-0000-0000-00006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3843</t>
        </r>
      </text>
    </comment>
    <comment ref="CJ77" authorId="0" shapeId="0" xr:uid="{00000000-0006-0000-0000-00006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3853</t>
        </r>
      </text>
    </comment>
    <comment ref="CK77" authorId="0" shapeId="0" xr:uid="{5B52FA73-E1B6-437B-B4C0-F570E534E8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3881
Sep+Oct 2024</t>
        </r>
      </text>
    </comment>
    <comment ref="BD78" authorId="0" shapeId="0" xr:uid="{00000000-0006-0000-0000-00006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4889</t>
        </r>
      </text>
    </comment>
    <comment ref="BH78" authorId="0" shapeId="0" xr:uid="{00000000-0006-0000-0000-00006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335</t>
        </r>
      </text>
    </comment>
    <comment ref="BL78" authorId="0" shapeId="0" xr:uid="{00000000-0006-0000-0000-00007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350</t>
        </r>
      </text>
    </comment>
    <comment ref="BP78" authorId="0" shapeId="0" xr:uid="{00000000-0006-0000-0000-00007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403</t>
        </r>
      </text>
    </comment>
    <comment ref="BV78" authorId="0" shapeId="0" xr:uid="{00000000-0006-0000-0000-00007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444</t>
        </r>
      </text>
    </comment>
    <comment ref="BY78" authorId="0" shapeId="0" xr:uid="{00000000-0006-0000-0000-00007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464</t>
        </r>
      </text>
    </comment>
    <comment ref="CA78" authorId="0" shapeId="0" xr:uid="{00000000-0006-0000-0000-00007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464</t>
        </r>
      </text>
    </comment>
    <comment ref="CJ78" authorId="0" shapeId="0" xr:uid="{00000000-0006-0000-0000-00007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3859</t>
        </r>
      </text>
    </comment>
    <comment ref="CO78" authorId="0" shapeId="0" xr:uid="{72CE40AC-1C6E-4008-98F9-5C074920A5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3873</t>
        </r>
      </text>
    </comment>
    <comment ref="CQ78" authorId="0" shapeId="0" xr:uid="{04E06151-77F5-4D6B-8531-6089A41FB2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807</t>
        </r>
      </text>
    </comment>
    <comment ref="W79" authorId="0" shapeId="0" xr:uid="{00000000-0006-0000-0000-00007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X79" authorId="0" shapeId="0" xr:uid="{00000000-0006-0000-0000-00007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Y79" authorId="0" shapeId="0" xr:uid="{00000000-0006-0000-0000-00007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Z79" authorId="0" shapeId="0" xr:uid="{00000000-0006-0000-0000-00007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A79" authorId="0" shapeId="0" xr:uid="{00000000-0006-0000-0000-00007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B79" authorId="0" shapeId="0" xr:uid="{00000000-0006-0000-0000-00007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C79" authorId="0" shapeId="0" xr:uid="{00000000-0006-0000-0000-00007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D79" authorId="0" shapeId="0" xr:uid="{00000000-0006-0000-0000-00007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E79" authorId="0" shapeId="0" xr:uid="{00000000-0006-0000-0000-00007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F79" authorId="0" shapeId="0" xr:uid="{00000000-0006-0000-0000-00007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G79" authorId="0" shapeId="0" xr:uid="{00000000-0006-0000-0000-00008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AH79" authorId="0" shapeId="0" xr:uid="{00000000-0006-0000-0000-00008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Lift maintenance charges Rs. 110/- received in Feb 2023</t>
        </r>
      </text>
    </comment>
    <comment ref="BB79" authorId="0" shapeId="0" xr:uid="{00000000-0006-0000-0000-00008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210</t>
        </r>
      </text>
    </comment>
    <comment ref="BC79" authorId="0" shapeId="0" xr:uid="{00000000-0006-0000-0000-00008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4869</t>
        </r>
      </text>
    </comment>
    <comment ref="BE79" authorId="0" shapeId="0" xr:uid="{00000000-0006-0000-0000-00008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4888</t>
        </r>
      </text>
    </comment>
    <comment ref="BF79" authorId="0" shapeId="0" xr:uid="{00000000-0006-0000-0000-00008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311</t>
        </r>
      </text>
    </comment>
    <comment ref="BG79" authorId="0" shapeId="0" xr:uid="{00000000-0006-0000-0000-00008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326</t>
        </r>
      </text>
    </comment>
    <comment ref="BL79" authorId="0" shapeId="0" xr:uid="{00000000-0006-0000-0000-00008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364</t>
        </r>
      </text>
    </comment>
    <comment ref="BO79" authorId="0" shapeId="0" xr:uid="{00000000-0006-0000-0000-000088020000}">
      <text>
        <r>
          <rPr>
            <b/>
            <sz val="9"/>
            <color indexed="81"/>
            <rFont val="Tahoma"/>
            <charset val="1"/>
          </rPr>
          <t>User:
Receipt No. 423</t>
        </r>
      </text>
    </comment>
    <comment ref="BQ79" authorId="0" shapeId="0" xr:uid="{00000000-0006-0000-0000-00008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424
(Lift maintenance charges Fy Jan 2022-Dec 2022 -1320/- received)</t>
        </r>
      </text>
    </comment>
    <comment ref="BT79" authorId="0" shapeId="0" xr:uid="{00000000-0006-0000-0000-00008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445</t>
        </r>
      </text>
    </comment>
    <comment ref="BW79" authorId="0" shapeId="0" xr:uid="{00000000-0006-0000-0000-00008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455</t>
        </r>
      </text>
    </comment>
    <comment ref="BY79" authorId="0" shapeId="0" xr:uid="{00000000-0006-0000-0000-00008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465</t>
        </r>
      </text>
    </comment>
    <comment ref="CA79" authorId="0" shapeId="0" xr:uid="{00000000-0006-0000-0000-00008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484</t>
        </r>
      </text>
    </comment>
    <comment ref="CD79" authorId="0" shapeId="0" xr:uid="{00000000-0006-0000-0000-00008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3817</t>
        </r>
      </text>
    </comment>
    <comment ref="CG79" authorId="0" shapeId="0" xr:uid="{00000000-0006-0000-0000-00008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3844</t>
        </r>
      </text>
    </comment>
    <comment ref="CJ79" authorId="0" shapeId="0" xr:uid="{00000000-0006-0000-0000-00009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3860</t>
        </r>
      </text>
    </comment>
    <comment ref="CL79" authorId="0" shapeId="0" xr:uid="{95A611F4-2D27-4D82-A962-E82129D344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3864</t>
        </r>
      </text>
    </comment>
    <comment ref="CO79" authorId="0" shapeId="0" xr:uid="{2BB7D20B-1DC4-4651-9A9F-EB74F7FEEF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3895</t>
        </r>
      </text>
    </comment>
    <comment ref="AZ80" authorId="0" shapeId="0" xr:uid="{00000000-0006-0000-0000-00009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3560</t>
        </r>
      </text>
    </comment>
    <comment ref="BC80" authorId="0" shapeId="0" xr:uid="{00000000-0006-0000-0000-00009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4878</t>
        </r>
      </text>
    </comment>
    <comment ref="BF80" authorId="0" shapeId="0" xr:uid="{00000000-0006-0000-0000-00009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312</t>
        </r>
      </text>
    </comment>
    <comment ref="BI80" authorId="0" shapeId="0" xr:uid="{00000000-0006-0000-0000-00009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331</t>
        </r>
      </text>
    </comment>
    <comment ref="BL80" authorId="0" shapeId="0" xr:uid="{00000000-0006-0000-0000-00009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360</t>
        </r>
      </text>
    </comment>
    <comment ref="BO80" authorId="0" shapeId="0" xr:uid="{00000000-0006-0000-0000-00009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379</t>
        </r>
      </text>
    </comment>
    <comment ref="BR80" authorId="0" shapeId="0" xr:uid="{00000000-0006-0000-0000-00009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411</t>
        </r>
      </text>
    </comment>
    <comment ref="BU80" authorId="0" shapeId="0" xr:uid="{00000000-0006-0000-0000-00009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428</t>
        </r>
      </text>
    </comment>
    <comment ref="BX80" authorId="0" shapeId="0" xr:uid="{00000000-0006-0000-0000-00009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456</t>
        </r>
      </text>
    </comment>
    <comment ref="CA80" authorId="0" shapeId="0" xr:uid="{00000000-0006-0000-0000-00009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480</t>
        </r>
      </text>
    </comment>
    <comment ref="CD80" authorId="0" shapeId="0" xr:uid="{00000000-0006-0000-0000-00009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3813</t>
        </r>
      </text>
    </comment>
    <comment ref="CG80" authorId="0" shapeId="0" xr:uid="{00000000-0006-0000-0000-00009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721</t>
        </r>
      </text>
    </comment>
    <comment ref="CJ80" authorId="0" shapeId="0" xr:uid="{00000000-0006-0000-0000-00009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3845</t>
        </r>
      </text>
    </comment>
    <comment ref="CK80" authorId="0" shapeId="0" xr:uid="{56357772-E329-4CDF-B66E-3B51398C7B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No, 3891</t>
        </r>
      </text>
    </comment>
    <comment ref="CP80" authorId="0" shapeId="0" xr:uid="{E07C749A-F6DE-452A-9DEE-12E6E86D79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3874</t>
        </r>
      </text>
    </comment>
    <comment ref="CS80" authorId="0" shapeId="0" xr:uid="{8C8E73F7-1716-407F-8D12-383FA5BB7B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3899</t>
        </r>
      </text>
    </comment>
    <comment ref="BD81" authorId="0" shapeId="0" xr:uid="{00000000-0006-0000-0000-00009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4879</t>
        </r>
      </text>
    </comment>
    <comment ref="BH81" authorId="0" shapeId="0" xr:uid="{00000000-0006-0000-0000-00009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351</t>
        </r>
      </text>
    </comment>
    <comment ref="BO81" authorId="0" shapeId="0" xr:uid="{00000000-0006-0000-0000-0000A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384</t>
        </r>
      </text>
    </comment>
    <comment ref="BU81" authorId="0" shapeId="0" xr:uid="{00000000-0006-0000-0000-0000A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432</t>
        </r>
      </text>
    </comment>
    <comment ref="BX81" authorId="0" shapeId="0" xr:uid="{00000000-0006-0000-0000-0000A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453</t>
        </r>
      </text>
    </comment>
    <comment ref="CA81" authorId="0" shapeId="0" xr:uid="{00000000-0006-0000-0000-0000A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466</t>
        </r>
      </text>
    </comment>
    <comment ref="CJ81" authorId="0" shapeId="0" xr:uid="{00000000-0006-0000-0000-0000A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3854</t>
        </r>
      </text>
    </comment>
    <comment ref="CV81" authorId="0" shapeId="0" xr:uid="{C575E4FC-F5E9-4B28-A932-8BEB1E9618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3869</t>
        </r>
      </text>
    </comment>
    <comment ref="BE82" authorId="0" shapeId="0" xr:uid="{00000000-0006-0000-0000-0000A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4880</t>
        </r>
      </text>
    </comment>
    <comment ref="BI82" authorId="0" shapeId="0" xr:uid="{00000000-0006-0000-0000-0000A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352</t>
        </r>
      </text>
    </comment>
    <comment ref="BM82" authorId="0" shapeId="0" xr:uid="{00000000-0006-0000-0000-0000A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370</t>
        </r>
      </text>
    </comment>
    <comment ref="BT82" authorId="0" shapeId="0" xr:uid="{00000000-0006-0000-0000-0000A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409</t>
        </r>
      </text>
    </comment>
    <comment ref="BX82" authorId="0" shapeId="0" xr:uid="{00000000-0006-0000-0000-0000A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446</t>
        </r>
      </text>
    </comment>
    <comment ref="BZ82" authorId="0" shapeId="0" xr:uid="{00000000-0006-0000-0000-0000A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467</t>
        </r>
      </text>
    </comment>
    <comment ref="CF82" authorId="0" shapeId="0" xr:uid="{00000000-0006-0000-0000-0000A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3826</t>
        </r>
      </text>
    </comment>
    <comment ref="CJ82" authorId="0" shapeId="0" xr:uid="{00000000-0006-0000-0000-0000A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3855</t>
        </r>
      </text>
    </comment>
    <comment ref="CO82" authorId="0" shapeId="0" xr:uid="{19583D05-D225-4EF8-9BF0-1D48A5F8FB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3875</t>
        </r>
      </text>
    </comment>
    <comment ref="CS82" authorId="0" shapeId="0" xr:uid="{99BF783A-3C65-4700-A194-6E0B241865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808</t>
        </r>
      </text>
    </comment>
    <comment ref="BD83" authorId="0" shapeId="0" xr:uid="{00000000-0006-0000-0000-0000A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304</t>
        </r>
      </text>
    </comment>
    <comment ref="BI83" authorId="0" shapeId="0" xr:uid="{00000000-0006-0000-0000-0000A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334</t>
        </r>
      </text>
    </comment>
    <comment ref="BK83" authorId="0" shapeId="0" xr:uid="{00000000-0006-0000-0000-0000A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361</t>
        </r>
      </text>
    </comment>
    <comment ref="BQ83" authorId="0" shapeId="0" xr:uid="{00000000-0006-0000-0000-0000B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412</t>
        </r>
      </text>
    </comment>
    <comment ref="BV83" authorId="0" shapeId="0" xr:uid="{00000000-0006-0000-0000-0000B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447</t>
        </r>
      </text>
    </comment>
    <comment ref="CA83" authorId="0" shapeId="0" xr:uid="{00000000-0006-0000-0000-0000B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468</t>
        </r>
      </text>
    </comment>
    <comment ref="CJ83" authorId="0" shapeId="0" xr:uid="{00000000-0006-0000-0000-0000B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3856</t>
        </r>
      </text>
    </comment>
    <comment ref="CK83" authorId="0" shapeId="0" xr:uid="{9ACB69A2-3652-4836-B768-95BB1BF35D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3877</t>
        </r>
      </text>
    </comment>
    <comment ref="CN83" authorId="0" shapeId="0" xr:uid="{5C6A413C-D605-424F-AB08-358D968D26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3876</t>
        </r>
      </text>
    </comment>
    <comment ref="CQ83" authorId="0" shapeId="0" xr:uid="{D6F6359F-FF84-4F03-9A3B-867E4C5A760A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Receipt No. 3896</t>
        </r>
      </text>
    </comment>
    <comment ref="BB84" authorId="0" shapeId="0" xr:uid="{00000000-0006-0000-0000-0000B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3570</t>
        </r>
      </text>
    </comment>
    <comment ref="BL84" authorId="0" shapeId="0" xr:uid="{00000000-0006-0000-0000-0000B5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362</t>
        </r>
      </text>
    </comment>
    <comment ref="BR84" authorId="0" shapeId="0" xr:uid="{00000000-0006-0000-0000-0000B6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413</t>
        </r>
      </text>
    </comment>
    <comment ref="BW84" authorId="0" shapeId="0" xr:uid="{00000000-0006-0000-0000-0000B7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451</t>
        </r>
      </text>
    </comment>
    <comment ref="CA84" authorId="0" shapeId="0" xr:uid="{00000000-0006-0000-0000-0000B8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471</t>
        </r>
      </text>
    </comment>
    <comment ref="CG84" authorId="0" shapeId="0" xr:uid="{00000000-0006-0000-0000-0000B9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3857</t>
        </r>
      </text>
    </comment>
    <comment ref="CO84" authorId="0" shapeId="0" xr:uid="{A05B094D-873F-4450-92F2-ACF4F50E09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Receipt No. 757</t>
        </r>
      </text>
    </comment>
    <comment ref="CQ84" authorId="0" shapeId="0" xr:uid="{73329A2D-AFBC-4B3B-ABD2-D8F62A31FC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809</t>
        </r>
      </text>
    </comment>
    <comment ref="W85" authorId="0" shapeId="0" xr:uid="{00000000-0006-0000-0000-0000BA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305
Rs. 110/- received</t>
        </r>
      </text>
    </comment>
    <comment ref="BF85" authorId="0" shapeId="0" xr:uid="{00000000-0006-0000-0000-0000BB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305</t>
        </r>
      </text>
    </comment>
    <comment ref="BK85" authorId="0" shapeId="0" xr:uid="{00000000-0006-0000-0000-0000BC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353</t>
        </r>
      </text>
    </comment>
    <comment ref="BP85" authorId="0" shapeId="0" xr:uid="{00000000-0006-0000-0000-0000BD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</t>
        </r>
      </text>
    </comment>
    <comment ref="BQ85" authorId="0" shapeId="0" xr:uid="{00000000-0006-0000-0000-0000BE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395</t>
        </r>
      </text>
    </comment>
    <comment ref="BT85" authorId="0" shapeId="0" xr:uid="{00000000-0006-0000-0000-0000BF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419</t>
        </r>
      </text>
    </comment>
    <comment ref="BW85" authorId="0" shapeId="0" xr:uid="{00000000-0006-0000-0000-0000C0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448</t>
        </r>
      </text>
    </comment>
    <comment ref="BZ85" authorId="0" shapeId="0" xr:uid="{00000000-0006-0000-0000-0000C1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469</t>
        </r>
      </text>
    </comment>
    <comment ref="CA85" authorId="0" shapeId="0" xr:uid="{00000000-0006-0000-0000-0000C2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469</t>
        </r>
      </text>
    </comment>
    <comment ref="CD85" authorId="0" shapeId="0" xr:uid="{00000000-0006-0000-0000-0000C3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499</t>
        </r>
      </text>
    </comment>
    <comment ref="CG85" authorId="0" shapeId="0" xr:uid="{00000000-0006-0000-0000-0000C402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3829</t>
        </r>
      </text>
    </comment>
    <comment ref="CO85" authorId="0" shapeId="0" xr:uid="{948A3602-597D-471E-B3FF-BC67297BE6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3878</t>
        </r>
      </text>
    </comment>
    <comment ref="CQ85" authorId="0" shapeId="0" xr:uid="{CE26AD9B-AF12-44E7-84DF-9FE35BA72C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Receipt No. 3900</t>
        </r>
      </text>
    </comment>
  </commentList>
</comments>
</file>

<file path=xl/sharedStrings.xml><?xml version="1.0" encoding="utf-8"?>
<sst xmlns="http://schemas.openxmlformats.org/spreadsheetml/2006/main" count="1070" uniqueCount="180">
  <si>
    <t>Sr. No.</t>
  </si>
  <si>
    <t>Flat Owner</t>
  </si>
  <si>
    <t>Flat No.</t>
  </si>
  <si>
    <t>Shri. Vijay Dashrat Chaudhari</t>
  </si>
  <si>
    <t>Shri. Kanhayyakumar Thakur</t>
  </si>
  <si>
    <t>Shri. Harshalbhai Ambadas Devang</t>
  </si>
  <si>
    <t>Shri. Surendra Bhimraoji Ingale</t>
  </si>
  <si>
    <t>Shri. Sandeep Subhash Vaychal</t>
  </si>
  <si>
    <t>Shri. Rahul Rameshrao Raut</t>
  </si>
  <si>
    <t>Shri. Aziz Fattubhai Inamdar</t>
  </si>
  <si>
    <t>Shri. Nilesh Sahdev Karande</t>
  </si>
  <si>
    <t>Sopan</t>
  </si>
  <si>
    <t>Shri. Amit Babanrao Dumbare</t>
  </si>
  <si>
    <t>Shri. Dattatraya Baban Shinde</t>
  </si>
  <si>
    <t>Shri. Vinayak Baburao Buvaji</t>
  </si>
  <si>
    <t>Shri. Sachin Nandkumar Shinde</t>
  </si>
  <si>
    <t>Shri. Santosh Vaman Nigale</t>
  </si>
  <si>
    <t>Shri. Sambhaji Vitthal Sonar</t>
  </si>
  <si>
    <t>Shri. Rohidas Kanhu Gadhe</t>
  </si>
  <si>
    <t>Shri. Basavraj Gunddappa Budaga</t>
  </si>
  <si>
    <t>Shri. Abhay Raghunath Thite</t>
  </si>
  <si>
    <t>Shri. Naresh Rajdhar Chaudhari</t>
  </si>
  <si>
    <t>Sau. Ratnaprabha Ravindra Sonar</t>
  </si>
  <si>
    <t>Sau. Savita Subodh Auti</t>
  </si>
  <si>
    <t>Shri. Ajaykumar Sudama Singh</t>
  </si>
  <si>
    <t>Shri Shreyash Shrikant Kulkarni</t>
  </si>
  <si>
    <t>Shri. Prashant Kashinath Ekhande</t>
  </si>
  <si>
    <t>Shri. Manohar Rangnath Jagdhane</t>
  </si>
  <si>
    <t>Shri. Sandeep Ramdas Khobare</t>
  </si>
  <si>
    <t>Shri. Ramesh Nathhu Sonar</t>
  </si>
  <si>
    <t>Shri. Balu Vaman Nigale</t>
  </si>
  <si>
    <t>Shri. Sachin Pandurang Dethe</t>
  </si>
  <si>
    <t>Shri. Gorakhnath Mallappa Mudhale</t>
  </si>
  <si>
    <t>Shri. Vijay Sopan Mungse</t>
  </si>
  <si>
    <t>Shri. Suhas Tukaram Yadav</t>
  </si>
  <si>
    <t>Shri. Rakesh Bhalchandra Jadhav</t>
  </si>
  <si>
    <t>OCT</t>
  </si>
  <si>
    <t>NOV</t>
  </si>
  <si>
    <t>DEC</t>
  </si>
  <si>
    <t>JAN</t>
  </si>
  <si>
    <t>FEB</t>
  </si>
  <si>
    <t>MAR</t>
  </si>
  <si>
    <t>MAY</t>
  </si>
  <si>
    <t>TOTAL</t>
  </si>
  <si>
    <t>APRIL</t>
  </si>
  <si>
    <t>JUNE</t>
  </si>
  <si>
    <t>JULY</t>
  </si>
  <si>
    <t>Shri. Pratik Gadekar</t>
  </si>
  <si>
    <t>SEPT</t>
  </si>
  <si>
    <t>Shri. Atul Hole</t>
  </si>
  <si>
    <t>AUG</t>
  </si>
  <si>
    <t>Shri. Dipak Baban Satav</t>
  </si>
  <si>
    <t>Build.Name</t>
  </si>
  <si>
    <t>JUL</t>
  </si>
  <si>
    <t>Old Months Pending</t>
  </si>
  <si>
    <t>Rs. 110 Short April 2019</t>
  </si>
  <si>
    <t>APR</t>
  </si>
  <si>
    <t>JUN</t>
  </si>
  <si>
    <t>Shri. Yogesh D.Dandgavhal</t>
  </si>
  <si>
    <t>Shri. Shrirang S.Dev</t>
  </si>
  <si>
    <t>April 2019 - Rs.925</t>
  </si>
  <si>
    <t>Transfer in March 2020 (Rs.30000)</t>
  </si>
  <si>
    <t>3700+1000+1000=5700 Lift Pay</t>
  </si>
  <si>
    <t>Muktai-A</t>
  </si>
  <si>
    <t>Muktai-B</t>
  </si>
  <si>
    <t>Shri. Chhabanrao Ravji Gaikwad</t>
  </si>
  <si>
    <t>Shri. Vivek Ramdas Raut</t>
  </si>
  <si>
    <t>Shri. Umesh Madhukar Waghmare</t>
  </si>
  <si>
    <t>Shri. Ajit Baban Mutke</t>
  </si>
  <si>
    <t>Shri. Nandkumar Dattatray Chinchkar</t>
  </si>
  <si>
    <t>Shri. Ullhasreddi Balareddi Chamelli</t>
  </si>
  <si>
    <t>Shri. Santosh Ramchandra Gawade</t>
  </si>
  <si>
    <t>Shri. Dattatray Nivrutti Gawate</t>
  </si>
  <si>
    <t>Nivrutti-A</t>
  </si>
  <si>
    <t>Shri. Amit D. Jadhav</t>
  </si>
  <si>
    <t>Nivrutti-B</t>
  </si>
  <si>
    <t>Shri. G.Muralidharan Iyer</t>
  </si>
  <si>
    <t>Shri. Dinesh Mahadu Borchate</t>
  </si>
  <si>
    <t>Shri. Hrishikesh M. Iyer</t>
  </si>
  <si>
    <t>Shri. Sandeep Gaikwad</t>
  </si>
  <si>
    <t>Shri. Rahul Bansode</t>
  </si>
  <si>
    <t>Dnyandeo</t>
  </si>
  <si>
    <t>Shri. Narayan. R. Alhat</t>
  </si>
  <si>
    <t>Shri. Laxman Maruti Tamhane</t>
  </si>
  <si>
    <t>Shri. Praveen B.Kanade</t>
  </si>
  <si>
    <t>Shri. Pankaj Panditrao Bhamre</t>
  </si>
  <si>
    <t>Shri. Dharmaji Maruti Alhat</t>
  </si>
  <si>
    <t>Rental</t>
  </si>
  <si>
    <t>No</t>
  </si>
  <si>
    <t>Yes</t>
  </si>
  <si>
    <t>Building</t>
  </si>
  <si>
    <t>Tenant Name</t>
  </si>
  <si>
    <t>Contact No.</t>
  </si>
  <si>
    <t>Mr.Deshmukh</t>
  </si>
  <si>
    <t>Shri. Pratik Suresh Gadekar</t>
  </si>
  <si>
    <t>Shri. Ramnath Fakira More</t>
  </si>
  <si>
    <t>9922086669/9921796376</t>
  </si>
  <si>
    <t>Shri. Ahmed Shaikh</t>
  </si>
  <si>
    <t>8879489933/9011025453</t>
  </si>
  <si>
    <t>Shri. Dattatray Bhor</t>
  </si>
  <si>
    <t xml:space="preserve">1000 + Dec 2019 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</si>
  <si>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</si>
  <si>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</si>
  <si>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</si>
  <si>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</si>
  <si>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</si>
  <si>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</si>
  <si>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</si>
  <si>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</si>
  <si>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</si>
  <si>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July-20 to Dec-20 (6X840=5040)</t>
  </si>
  <si>
    <t>Jan-18 to July-20(Month 32x840=26880)</t>
  </si>
  <si>
    <t>July-2020 + Feb 2021 = Rs. 720x2=1440</t>
  </si>
  <si>
    <t>May-20 (Rs.720)</t>
  </si>
  <si>
    <t xml:space="preserve">Aug-Set-oct-nov 2020 </t>
  </si>
  <si>
    <t>Apr+May+Dec 2018 + Sept + Nov 2019 + Mar-20</t>
  </si>
  <si>
    <t>Dec17+Oct18+Jan Feb March 2019</t>
  </si>
  <si>
    <t>Paid till March 2022</t>
  </si>
  <si>
    <t xml:space="preserve">Nov+Dec-2017 </t>
  </si>
  <si>
    <t>Feb 2019 + June-20 to Sept-21</t>
  </si>
  <si>
    <t xml:space="preserve">Feb to June 2018+April to June 2019 </t>
  </si>
  <si>
    <t>Feb 2020 =900</t>
  </si>
  <si>
    <t>Amount</t>
  </si>
  <si>
    <t>Particulars</t>
  </si>
  <si>
    <t>Shri. Dhairyashil Diliprao Kadam</t>
  </si>
  <si>
    <t>Shri. Lalit Rampal Bhatia</t>
  </si>
  <si>
    <t>Shri. Ranjeet V. Salunkhe</t>
  </si>
  <si>
    <t>Shri. Balasaheb Hande</t>
  </si>
  <si>
    <t>Shri. Bhanudas H. Alhat (Ugane)</t>
  </si>
  <si>
    <t>Outstanding for the month</t>
  </si>
  <si>
    <t>Messege forwarded to respective person for outstanding</t>
  </si>
  <si>
    <t>Shri. Vijay Dashrath Chaudhari</t>
  </si>
  <si>
    <t>Shri. Umesh Madhukar Waghmare (Angadi)</t>
  </si>
  <si>
    <t>Amount received - updated &amp; receipt given.</t>
  </si>
  <si>
    <t>Shri. Uddhav. M. Alhat (Mr.Shaikh Ahmed)</t>
  </si>
  <si>
    <t>Outstanding as on Jan 2022</t>
  </si>
  <si>
    <t>SEP</t>
  </si>
  <si>
    <t>Shri. Prabhanjan Babanrao Borawake</t>
  </si>
  <si>
    <t>Total required Balance</t>
  </si>
  <si>
    <t>Monthly Total Collection</t>
  </si>
  <si>
    <t>MECB</t>
  </si>
  <si>
    <t>SECURITY</t>
  </si>
  <si>
    <t>SWEEPER</t>
  </si>
  <si>
    <t>WATER BILL</t>
  </si>
  <si>
    <t>Shri. Mr. S Y Patil</t>
  </si>
  <si>
    <t>Shri. Balaso Hande</t>
  </si>
  <si>
    <t>GODAVARI PURAM CO-OPERATIVE HOUSING SOCIETY LTD (Updates till May-2023)</t>
  </si>
  <si>
    <t>Shri. Kishor V. Chikane</t>
  </si>
  <si>
    <t>Shri. Ranjit V. Salunkhe</t>
  </si>
  <si>
    <t>Mrs. Madhuri Ramane</t>
  </si>
  <si>
    <t>Shri. Premsukh Vishnoi</t>
  </si>
  <si>
    <t>Amount Recovered  after 20/10/2021</t>
  </si>
  <si>
    <t>Shri. Sadik Shaikh</t>
  </si>
  <si>
    <t>Shri. Deore</t>
  </si>
  <si>
    <t>Shri. S. Y. Patil</t>
  </si>
  <si>
    <t>Shri. Chetan Sunil Bhalerao</t>
  </si>
  <si>
    <t>Shri. G. Muralidharan Iyer</t>
  </si>
  <si>
    <t>Shri. Dhanajay Ugane</t>
  </si>
  <si>
    <t>Shri. Praveen B. Kanade</t>
  </si>
  <si>
    <t>Sau. Madhuri Ramane</t>
  </si>
  <si>
    <t>Shri. Atul Sambhaji Hole</t>
  </si>
  <si>
    <t>Shri. Kiran Kondhalkar</t>
  </si>
  <si>
    <t>Shri. Bhushan Jadhav</t>
  </si>
  <si>
    <t>Cheques received - Need to update &amp; make receipt</t>
  </si>
  <si>
    <t>Shri. Sadik Jainodin Shaikh</t>
  </si>
  <si>
    <t>Monthly Collection</t>
  </si>
  <si>
    <t>Monthly Expenses</t>
  </si>
  <si>
    <t>Housekeeping material</t>
  </si>
  <si>
    <t>Sweeper</t>
  </si>
  <si>
    <t>Security Charges</t>
  </si>
  <si>
    <t>Electricity Bill</t>
  </si>
  <si>
    <t>Water Bill</t>
  </si>
  <si>
    <t>Other</t>
  </si>
  <si>
    <t>Shri. Rajendra Deore</t>
  </si>
  <si>
    <t>Revised</t>
  </si>
  <si>
    <t>Shri. Chetan S. Bhalerao</t>
  </si>
  <si>
    <t>Outstanding till Jun 2025</t>
  </si>
  <si>
    <t>Water bill outstanding</t>
  </si>
  <si>
    <t>Closing Balance as on 14/06/2025</t>
  </si>
  <si>
    <t>Cheques received as on 10/06/2025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</si>
</sst>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u/>
      <sz val="8"/>
      <color theme="1"/>
      <name val="Franklin Gothic Book"/>
      <family val="2"/>
    </font>
    <font>
      <sz val="8"/>
      <color theme="1"/>
      <name val="Franklin Gothic Book"/>
      <family val="2"/>
    </font>
    <font>
      <b/>
      <sz val="8"/>
      <color theme="1"/>
      <name val="Franklin Gothic Book"/>
      <family val="2"/>
    </font>
    <font>
      <b/>
      <sz val="8"/>
      <color rgb="FF00B0F0"/>
      <name val="Franklin Gothic Book"/>
      <family val="2"/>
    </font>
    <font>
      <sz val="8"/>
      <color rgb="FF00B0F0"/>
      <name val="Franklin Gothic Book"/>
      <family val="2"/>
    </font>
    <font>
      <sz val="8"/>
      <name val="Franklin Gothic Book"/>
      <family val="2"/>
    </font>
    <font>
      <b/>
      <sz val="8"/>
      <name val="Franklin Gothic Book"/>
      <family val="2"/>
    </font>
    <font>
      <sz val="7"/>
      <color theme="1"/>
      <name val="Franklin Gothic Book"/>
      <family val="2"/>
    </font>
    <font>
      <b/>
      <sz val="7"/>
      <color rgb="FF00B0F0"/>
      <name val="Franklin Gothic Book"/>
      <family val="2"/>
    </font>
    <font>
      <b/>
      <sz val="7"/>
      <name val="Franklin Gothic Book"/>
      <family val="2"/>
    </font>
    <font>
      <sz val="7"/>
      <color rgb="FF00B0F0"/>
      <name val="Franklin Gothic Book"/>
      <family val="2"/>
    </font>
    <font>
      <b/>
      <sz val="20"/>
      <color theme="1"/>
      <name val="Franklin Gothic Book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0"/>
      <name val="Franklin Gothic Book"/>
      <family val="2"/>
    </font>
    <font>
      <b/>
      <sz val="9"/>
      <color theme="1"/>
      <name val="Franklin Gothic Boo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B0F0"/>
      <name val="Franklin Gothic Book"/>
      <family val="2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sz val="6"/>
      <color theme="1"/>
      <name val="Franklin Gothic Book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left"/>
    </xf>
    <xf numFmtId="17" fontId="10" fillId="0" borderId="8" xfId="0" applyNumberFormat="1" applyFont="1" applyFill="1" applyBorder="1" applyAlignment="1">
      <alignment horizontal="left"/>
    </xf>
    <xf numFmtId="0" fontId="11" fillId="0" borderId="18" xfId="0" applyFont="1" applyFill="1" applyBorder="1" applyAlignment="1">
      <alignment horizontal="left"/>
    </xf>
    <xf numFmtId="0" fontId="6" fillId="0" borderId="9" xfId="0" applyFont="1" applyFill="1" applyBorder="1"/>
    <xf numFmtId="0" fontId="6" fillId="0" borderId="5" xfId="0" applyFont="1" applyFill="1" applyBorder="1"/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left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/>
    </xf>
    <xf numFmtId="0" fontId="10" fillId="2" borderId="8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17" fontId="10" fillId="2" borderId="8" xfId="0" applyNumberFormat="1" applyFont="1" applyFill="1" applyBorder="1" applyAlignment="1">
      <alignment horizontal="left"/>
    </xf>
    <xf numFmtId="0" fontId="14" fillId="0" borderId="0" xfId="0" applyFont="1"/>
    <xf numFmtId="0" fontId="15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Fill="1" applyBorder="1"/>
    <xf numFmtId="0" fontId="14" fillId="3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5" fillId="0" borderId="16" xfId="0" applyFont="1" applyFill="1" applyBorder="1"/>
    <xf numFmtId="0" fontId="14" fillId="0" borderId="16" xfId="0" applyFont="1" applyBorder="1"/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Fill="1" applyBorder="1"/>
    <xf numFmtId="0" fontId="14" fillId="0" borderId="5" xfId="0" applyFont="1" applyBorder="1"/>
    <xf numFmtId="0" fontId="14" fillId="3" borderId="16" xfId="0" applyFont="1" applyFill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7" fontId="13" fillId="0" borderId="3" xfId="0" applyNumberFormat="1" applyFont="1" applyBorder="1"/>
    <xf numFmtId="0" fontId="13" fillId="0" borderId="3" xfId="0" applyFont="1" applyBorder="1"/>
    <xf numFmtId="0" fontId="14" fillId="0" borderId="1" xfId="0" applyFont="1" applyFill="1" applyBorder="1" applyAlignment="1">
      <alignment horizontal="center"/>
    </xf>
    <xf numFmtId="17" fontId="13" fillId="0" borderId="3" xfId="0" applyNumberFormat="1" applyFont="1" applyBorder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6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5" xfId="0" applyFont="1" applyFill="1" applyBorder="1"/>
    <xf numFmtId="0" fontId="14" fillId="0" borderId="16" xfId="0" applyFont="1" applyFill="1" applyBorder="1"/>
    <xf numFmtId="0" fontId="14" fillId="0" borderId="1" xfId="0" applyFont="1" applyFill="1" applyBorder="1"/>
    <xf numFmtId="0" fontId="4" fillId="0" borderId="2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5" fillId="0" borderId="1" xfId="0" applyFont="1" applyFill="1" applyBorder="1"/>
    <xf numFmtId="0" fontId="6" fillId="5" borderId="1" xfId="0" applyFont="1" applyFill="1" applyBorder="1" applyAlignment="1">
      <alignment horizontal="center"/>
    </xf>
    <xf numFmtId="0" fontId="16" fillId="4" borderId="1" xfId="0" applyFont="1" applyFill="1" applyBorder="1"/>
    <xf numFmtId="0" fontId="6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5" fillId="3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/>
    <xf numFmtId="0" fontId="2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" fontId="0" fillId="0" borderId="0" xfId="0" applyNumberFormat="1"/>
    <xf numFmtId="0" fontId="2" fillId="0" borderId="22" xfId="0" applyFont="1" applyFill="1" applyBorder="1"/>
    <xf numFmtId="0" fontId="2" fillId="0" borderId="23" xfId="0" applyFont="1" applyFill="1" applyBorder="1" applyAlignment="1">
      <alignment horizontal="center"/>
    </xf>
    <xf numFmtId="0" fontId="3" fillId="0" borderId="23" xfId="0" applyFont="1" applyFill="1" applyBorder="1" applyAlignment="1"/>
    <xf numFmtId="0" fontId="3" fillId="0" borderId="0" xfId="0" applyFont="1" applyFill="1" applyBorder="1" applyAlignment="1"/>
    <xf numFmtId="0" fontId="3" fillId="0" borderId="24" xfId="0" applyFont="1" applyFill="1" applyBorder="1" applyAlignment="1"/>
    <xf numFmtId="0" fontId="3" fillId="0" borderId="22" xfId="0" applyFont="1" applyFill="1" applyBorder="1" applyAlignment="1"/>
    <xf numFmtId="0" fontId="3" fillId="0" borderId="22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13" xfId="0" applyFont="1" applyFill="1" applyBorder="1"/>
    <xf numFmtId="0" fontId="23" fillId="0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vertical="center"/>
    </xf>
    <xf numFmtId="0" fontId="13" fillId="0" borderId="0" xfId="0" applyFont="1" applyFill="1"/>
    <xf numFmtId="0" fontId="24" fillId="0" borderId="0" xfId="0" applyFont="1" applyFill="1" applyAlignment="1">
      <alignment vertical="center" wrapText="1"/>
    </xf>
    <xf numFmtId="0" fontId="13" fillId="0" borderId="1" xfId="0" applyFont="1" applyFill="1" applyBorder="1"/>
    <xf numFmtId="0" fontId="15" fillId="7" borderId="1" xfId="0" applyFont="1" applyFill="1" applyBorder="1" applyAlignment="1">
      <alignment vertical="center"/>
    </xf>
    <xf numFmtId="14" fontId="2" fillId="0" borderId="0" xfId="0" applyNumberFormat="1" applyFont="1" applyFill="1"/>
    <xf numFmtId="0" fontId="15" fillId="5" borderId="1" xfId="0" applyFont="1" applyFill="1" applyBorder="1" applyAlignment="1">
      <alignment vertical="center"/>
    </xf>
    <xf numFmtId="0" fontId="26" fillId="0" borderId="0" xfId="0" applyFont="1" applyFill="1" applyAlignment="1">
      <alignment horizontal="center"/>
    </xf>
    <xf numFmtId="0" fontId="27" fillId="0" borderId="1" xfId="0" applyFont="1" applyFill="1" applyBorder="1" applyAlignment="1">
      <alignment horizontal="right"/>
    </xf>
    <xf numFmtId="0" fontId="0" fillId="0" borderId="25" xfId="0" applyBorder="1"/>
    <xf numFmtId="0" fontId="18" fillId="8" borderId="1" xfId="0" applyFont="1" applyFill="1" applyBorder="1"/>
    <xf numFmtId="0" fontId="6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FN97"/>
  <sheetViews>
    <sheetView tabSelected="1" topLeftCell="A74" zoomScaleNormal="100" workbookViewId="0">
      <pane xSplit="3" topLeftCell="CM1" activePane="topRight" state="frozen"/>
      <selection activeCell="A2" sqref="A2"/>
      <selection pane="topRight" activeCell="CP84" sqref="CP84:CQ84"/>
    </sheetView>
  </sheetViews>
  <sheetFormatPr defaultColWidth="9.140625" defaultRowHeight="15" x14ac:dyDescent="0.25"/>
  <cols>
    <col min="1" max="1" width="6.28515625" style="2" customWidth="1"/>
    <col min="2" max="2" width="9.28515625" style="2" bestFit="1" customWidth="1"/>
    <col min="3" max="3" width="27.28515625" style="2" bestFit="1" customWidth="1"/>
    <col min="4" max="4" width="6.28515625" style="2" customWidth="1"/>
    <col min="5" max="10" width="5.42578125" style="1" customWidth="1"/>
    <col min="11" max="15" width="5.42578125" style="2" customWidth="1"/>
    <col min="16" max="32" width="5.42578125" style="1" customWidth="1"/>
    <col min="33" max="43" width="5.42578125" style="1" bestFit="1" customWidth="1"/>
    <col min="44" max="44" width="6.140625" style="1" bestFit="1" customWidth="1"/>
    <col min="45" max="48" width="5.42578125" style="1" bestFit="1" customWidth="1"/>
    <col min="49" max="49" width="6" style="1" bestFit="1" customWidth="1"/>
    <col min="50" max="51" width="4.42578125" style="1" bestFit="1" customWidth="1"/>
    <col min="52" max="52" width="4" style="1" bestFit="1" customWidth="1"/>
    <col min="53" max="53" width="3.5703125" style="1" bestFit="1" customWidth="1"/>
    <col min="54" max="54" width="3.42578125" style="1" customWidth="1"/>
    <col min="55" max="55" width="4.28515625" style="1" customWidth="1"/>
    <col min="56" max="56" width="4.85546875" style="1" customWidth="1"/>
    <col min="57" max="67" width="4.28515625" style="1" customWidth="1"/>
    <col min="68" max="68" width="5.28515625" style="1" customWidth="1"/>
    <col min="69" max="79" width="4.28515625" style="1" customWidth="1"/>
    <col min="80" max="80" width="5.140625" style="1" customWidth="1"/>
    <col min="81" max="81" width="5.42578125" style="1" customWidth="1"/>
    <col min="82" max="82" width="4.5703125" style="1" bestFit="1" customWidth="1"/>
    <col min="83" max="91" width="4.28515625" style="1" customWidth="1"/>
    <col min="92" max="92" width="5.28515625" style="1" customWidth="1"/>
    <col min="93" max="103" width="4.28515625" style="1" customWidth="1"/>
    <col min="104" max="104" width="5.42578125" style="1" customWidth="1"/>
    <col min="105" max="107" width="4.28515625" style="1" customWidth="1"/>
    <col min="108" max="108" width="12.42578125" style="2" customWidth="1"/>
    <col min="109" max="109" width="37.28515625" style="12" hidden="1" customWidth="1"/>
    <col min="110" max="111" width="9.140625" style="2" customWidth="1"/>
    <col min="112" max="112" width="13.7109375" style="2" customWidth="1"/>
    <col min="113" max="113" width="9.140625" style="2" customWidth="1"/>
    <col min="114" max="114" width="0" hidden="1" customWidth="1"/>
    <col min="115" max="118" width="10" style="2" hidden="1" customWidth="1"/>
    <col min="119" max="119" width="9.140625" style="2"/>
    <col min="120" max="120" width="10.42578125" style="2" customWidth="1"/>
    <col min="121" max="121" width="12.5703125" style="2" customWidth="1"/>
    <col min="122" max="122" width="17" style="2" customWidth="1"/>
    <col min="123" max="123" width="9.140625" style="2" customWidth="1"/>
    <col min="124" max="169" width="9.140625" style="2"/>
    <col min="170" max="170" width="9.140625" style="1"/>
    <col min="171" max="16384" width="9.140625" style="2"/>
  </cols>
  <sheetData>
    <row r="4" spans="1:170" ht="15.75" thickBot="1" x14ac:dyDescent="0.3"/>
    <row r="5" spans="1:170" ht="27.75" thickBot="1" x14ac:dyDescent="0.3">
      <c r="A5" s="35" t="s">
        <v>146</v>
      </c>
      <c r="B5" s="36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105"/>
      <c r="DE5" s="37"/>
      <c r="FN5" s="119" t="s">
        <v>139</v>
      </c>
    </row>
    <row r="6" spans="1:170" x14ac:dyDescent="0.25">
      <c r="A6" s="25"/>
      <c r="B6" s="26"/>
      <c r="C6" s="97"/>
      <c r="D6" s="98"/>
      <c r="E6" s="99">
        <v>2017</v>
      </c>
      <c r="F6" s="100"/>
      <c r="G6" s="101"/>
      <c r="H6" s="102">
        <v>2018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3">
        <v>2019</v>
      </c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3">
        <v>2020</v>
      </c>
      <c r="AG6" s="104"/>
      <c r="AH6" s="104"/>
      <c r="AI6" s="98"/>
      <c r="AJ6" s="98"/>
      <c r="AK6" s="98"/>
      <c r="AL6" s="98"/>
      <c r="AM6" s="98"/>
      <c r="AN6" s="98"/>
      <c r="AO6" s="98"/>
      <c r="AP6" s="98"/>
      <c r="AQ6" s="98"/>
      <c r="AR6" s="103">
        <v>2021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103">
        <v>2022</v>
      </c>
      <c r="BE6" s="98"/>
      <c r="BF6" s="98"/>
      <c r="BG6" s="94"/>
      <c r="BH6" s="94"/>
      <c r="BI6" s="94"/>
      <c r="BJ6" s="94"/>
      <c r="BK6" s="94"/>
      <c r="BL6" s="94"/>
      <c r="BM6" s="94"/>
      <c r="BN6" s="94"/>
      <c r="BO6" s="94"/>
      <c r="BP6" s="103">
        <v>2023</v>
      </c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103">
        <v>2024</v>
      </c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103">
        <v>2025</v>
      </c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103">
        <v>2026</v>
      </c>
      <c r="DA6" s="94"/>
      <c r="DB6" s="94"/>
      <c r="DC6" s="94"/>
      <c r="DE6" s="27"/>
      <c r="FN6" s="119"/>
    </row>
    <row r="7" spans="1:170" s="6" customFormat="1" ht="51" x14ac:dyDescent="0.25">
      <c r="A7" s="14" t="s">
        <v>0</v>
      </c>
      <c r="B7" s="3" t="s">
        <v>52</v>
      </c>
      <c r="C7" s="4" t="s">
        <v>1</v>
      </c>
      <c r="D7" s="3" t="s">
        <v>2</v>
      </c>
      <c r="E7" s="3" t="s">
        <v>36</v>
      </c>
      <c r="F7" s="5" t="s">
        <v>37</v>
      </c>
      <c r="G7" s="5" t="s">
        <v>38</v>
      </c>
      <c r="H7" s="5" t="s">
        <v>39</v>
      </c>
      <c r="I7" s="5" t="s">
        <v>40</v>
      </c>
      <c r="J7" s="5" t="s">
        <v>41</v>
      </c>
      <c r="K7" s="5" t="s">
        <v>44</v>
      </c>
      <c r="L7" s="5" t="s">
        <v>42</v>
      </c>
      <c r="M7" s="5" t="s">
        <v>45</v>
      </c>
      <c r="N7" s="5" t="s">
        <v>46</v>
      </c>
      <c r="O7" s="5" t="s">
        <v>50</v>
      </c>
      <c r="P7" s="5" t="s">
        <v>48</v>
      </c>
      <c r="Q7" s="5" t="s">
        <v>36</v>
      </c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  <c r="W7" s="5" t="s">
        <v>44</v>
      </c>
      <c r="X7" s="5" t="s">
        <v>42</v>
      </c>
      <c r="Y7" s="5" t="s">
        <v>45</v>
      </c>
      <c r="Z7" s="5" t="s">
        <v>53</v>
      </c>
      <c r="AA7" s="5" t="s">
        <v>50</v>
      </c>
      <c r="AB7" s="5" t="s">
        <v>48</v>
      </c>
      <c r="AC7" s="5" t="s">
        <v>36</v>
      </c>
      <c r="AD7" s="5" t="s">
        <v>37</v>
      </c>
      <c r="AE7" s="5" t="s">
        <v>38</v>
      </c>
      <c r="AF7" s="5" t="s">
        <v>39</v>
      </c>
      <c r="AG7" s="5" t="s">
        <v>40</v>
      </c>
      <c r="AH7" s="5" t="s">
        <v>41</v>
      </c>
      <c r="AI7" s="5" t="s">
        <v>56</v>
      </c>
      <c r="AJ7" s="5" t="s">
        <v>42</v>
      </c>
      <c r="AK7" s="5" t="s">
        <v>57</v>
      </c>
      <c r="AL7" s="5" t="s">
        <v>53</v>
      </c>
      <c r="AM7" s="5" t="s">
        <v>50</v>
      </c>
      <c r="AN7" s="5" t="s">
        <v>48</v>
      </c>
      <c r="AO7" s="5" t="s">
        <v>36</v>
      </c>
      <c r="AP7" s="5" t="s">
        <v>37</v>
      </c>
      <c r="AQ7" s="5" t="s">
        <v>38</v>
      </c>
      <c r="AR7" s="5" t="s">
        <v>39</v>
      </c>
      <c r="AS7" s="5" t="s">
        <v>40</v>
      </c>
      <c r="AT7" s="5" t="s">
        <v>41</v>
      </c>
      <c r="AU7" s="5" t="s">
        <v>101</v>
      </c>
      <c r="AV7" s="5" t="s">
        <v>102</v>
      </c>
      <c r="AW7" s="5" t="s">
        <v>103</v>
      </c>
      <c r="AX7" s="5" t="s">
        <v>104</v>
      </c>
      <c r="AY7" s="5" t="s">
        <v>105</v>
      </c>
      <c r="AZ7" s="5" t="s">
        <v>106</v>
      </c>
      <c r="BA7" s="5" t="s">
        <v>107</v>
      </c>
      <c r="BB7" s="5" t="s">
        <v>108</v>
      </c>
      <c r="BC7" s="5" t="s">
        <v>109</v>
      </c>
      <c r="BD7" s="5" t="s">
        <v>39</v>
      </c>
      <c r="BE7" s="5" t="s">
        <v>40</v>
      </c>
      <c r="BF7" s="5" t="s">
        <v>41</v>
      </c>
      <c r="BG7" s="5" t="s">
        <v>56</v>
      </c>
      <c r="BH7" s="5" t="s">
        <v>42</v>
      </c>
      <c r="BI7" s="5" t="s">
        <v>57</v>
      </c>
      <c r="BJ7" s="5" t="s">
        <v>53</v>
      </c>
      <c r="BK7" s="5" t="s">
        <v>50</v>
      </c>
      <c r="BL7" s="5" t="s">
        <v>136</v>
      </c>
      <c r="BM7" s="5" t="s">
        <v>36</v>
      </c>
      <c r="BN7" s="5" t="s">
        <v>37</v>
      </c>
      <c r="BO7" s="5" t="s">
        <v>38</v>
      </c>
      <c r="BP7" s="5" t="s">
        <v>39</v>
      </c>
      <c r="BQ7" s="5" t="s">
        <v>40</v>
      </c>
      <c r="BR7" s="5" t="s">
        <v>41</v>
      </c>
      <c r="BS7" s="5" t="s">
        <v>56</v>
      </c>
      <c r="BT7" s="5" t="s">
        <v>42</v>
      </c>
      <c r="BU7" s="5" t="s">
        <v>57</v>
      </c>
      <c r="BV7" s="5" t="s">
        <v>53</v>
      </c>
      <c r="BW7" s="5" t="s">
        <v>50</v>
      </c>
      <c r="BX7" s="5" t="s">
        <v>136</v>
      </c>
      <c r="BY7" s="5" t="s">
        <v>36</v>
      </c>
      <c r="BZ7" s="5" t="s">
        <v>37</v>
      </c>
      <c r="CA7" s="5" t="s">
        <v>38</v>
      </c>
      <c r="CB7" s="5" t="s">
        <v>39</v>
      </c>
      <c r="CC7" s="5" t="s">
        <v>40</v>
      </c>
      <c r="CD7" s="5" t="s">
        <v>41</v>
      </c>
      <c r="CE7" s="5" t="s">
        <v>56</v>
      </c>
      <c r="CF7" s="5" t="s">
        <v>42</v>
      </c>
      <c r="CG7" s="5" t="s">
        <v>57</v>
      </c>
      <c r="CH7" s="5" t="s">
        <v>53</v>
      </c>
      <c r="CI7" s="5" t="s">
        <v>50</v>
      </c>
      <c r="CJ7" s="5" t="s">
        <v>136</v>
      </c>
      <c r="CK7" s="5" t="s">
        <v>36</v>
      </c>
      <c r="CL7" s="5" t="s">
        <v>37</v>
      </c>
      <c r="CM7" s="5" t="s">
        <v>38</v>
      </c>
      <c r="CN7" s="5" t="s">
        <v>39</v>
      </c>
      <c r="CO7" s="5" t="s">
        <v>40</v>
      </c>
      <c r="CP7" s="5" t="s">
        <v>41</v>
      </c>
      <c r="CQ7" s="5" t="s">
        <v>56</v>
      </c>
      <c r="CR7" s="5" t="s">
        <v>42</v>
      </c>
      <c r="CS7" s="5" t="s">
        <v>57</v>
      </c>
      <c r="CT7" s="5" t="s">
        <v>53</v>
      </c>
      <c r="CU7" s="5" t="s">
        <v>50</v>
      </c>
      <c r="CV7" s="5" t="s">
        <v>136</v>
      </c>
      <c r="CW7" s="5" t="s">
        <v>36</v>
      </c>
      <c r="CX7" s="5" t="s">
        <v>37</v>
      </c>
      <c r="CY7" s="5" t="s">
        <v>38</v>
      </c>
      <c r="CZ7" s="5" t="s">
        <v>39</v>
      </c>
      <c r="DA7" s="5" t="s">
        <v>40</v>
      </c>
      <c r="DB7" s="5" t="s">
        <v>41</v>
      </c>
      <c r="DC7" s="5" t="s">
        <v>56</v>
      </c>
      <c r="DD7" s="106" t="s">
        <v>176</v>
      </c>
      <c r="DE7" s="15" t="s">
        <v>54</v>
      </c>
      <c r="DH7" s="106" t="s">
        <v>151</v>
      </c>
      <c r="DP7" s="109" t="s">
        <v>165</v>
      </c>
      <c r="DQ7" s="109" t="s">
        <v>166</v>
      </c>
      <c r="DT7" s="6" t="s">
        <v>174</v>
      </c>
      <c r="FN7" s="95"/>
    </row>
    <row r="8" spans="1:170" s="9" customFormat="1" ht="13.5" x14ac:dyDescent="0.25">
      <c r="A8" s="16">
        <v>1</v>
      </c>
      <c r="B8" s="7" t="s">
        <v>73</v>
      </c>
      <c r="C8" s="8" t="s">
        <v>47</v>
      </c>
      <c r="D8" s="7">
        <v>1</v>
      </c>
      <c r="E8" s="7">
        <v>840</v>
      </c>
      <c r="F8" s="7">
        <v>840</v>
      </c>
      <c r="G8" s="7">
        <v>840</v>
      </c>
      <c r="H8" s="7">
        <v>840</v>
      </c>
      <c r="I8" s="7">
        <v>840</v>
      </c>
      <c r="J8" s="7">
        <v>840</v>
      </c>
      <c r="K8" s="7">
        <v>840</v>
      </c>
      <c r="L8" s="7">
        <v>840</v>
      </c>
      <c r="M8" s="7">
        <v>840</v>
      </c>
      <c r="N8" s="7">
        <v>840</v>
      </c>
      <c r="O8" s="7">
        <v>840</v>
      </c>
      <c r="P8" s="7">
        <v>840</v>
      </c>
      <c r="Q8" s="7">
        <v>840</v>
      </c>
      <c r="R8" s="7">
        <v>840</v>
      </c>
      <c r="S8" s="7">
        <v>840</v>
      </c>
      <c r="T8" s="7">
        <v>840</v>
      </c>
      <c r="U8" s="7">
        <v>840</v>
      </c>
      <c r="V8" s="7">
        <v>840</v>
      </c>
      <c r="W8" s="7">
        <v>840</v>
      </c>
      <c r="X8" s="7">
        <v>840</v>
      </c>
      <c r="Y8" s="7">
        <v>840</v>
      </c>
      <c r="Z8" s="7">
        <v>840</v>
      </c>
      <c r="AA8" s="7">
        <v>840</v>
      </c>
      <c r="AB8" s="7">
        <v>840</v>
      </c>
      <c r="AC8" s="7">
        <v>840</v>
      </c>
      <c r="AD8" s="7">
        <v>840</v>
      </c>
      <c r="AE8" s="7">
        <v>840</v>
      </c>
      <c r="AF8" s="7">
        <v>840</v>
      </c>
      <c r="AG8" s="7">
        <v>840</v>
      </c>
      <c r="AH8" s="7">
        <v>840</v>
      </c>
      <c r="AI8" s="7">
        <v>840</v>
      </c>
      <c r="AJ8" s="7">
        <v>840</v>
      </c>
      <c r="AK8" s="7">
        <v>840</v>
      </c>
      <c r="AL8" s="7">
        <v>840</v>
      </c>
      <c r="AM8" s="7">
        <v>840</v>
      </c>
      <c r="AN8" s="7">
        <v>840</v>
      </c>
      <c r="AO8" s="7">
        <v>840</v>
      </c>
      <c r="AP8" s="7">
        <v>840</v>
      </c>
      <c r="AQ8" s="7">
        <v>840</v>
      </c>
      <c r="AR8" s="7">
        <v>840</v>
      </c>
      <c r="AS8" s="7">
        <v>840</v>
      </c>
      <c r="AT8" s="7">
        <v>840</v>
      </c>
      <c r="AU8" s="7">
        <v>840</v>
      </c>
      <c r="AV8" s="7">
        <v>840</v>
      </c>
      <c r="AW8" s="7">
        <v>840</v>
      </c>
      <c r="AX8" s="92">
        <v>840</v>
      </c>
      <c r="AY8" s="92">
        <v>840</v>
      </c>
      <c r="AZ8" s="92">
        <v>840</v>
      </c>
      <c r="BA8" s="92">
        <v>840</v>
      </c>
      <c r="BB8" s="92">
        <v>840</v>
      </c>
      <c r="BC8" s="92">
        <v>840</v>
      </c>
      <c r="BD8" s="92">
        <v>840</v>
      </c>
      <c r="BE8" s="92">
        <v>840</v>
      </c>
      <c r="BF8" s="92">
        <v>840</v>
      </c>
      <c r="BG8" s="92">
        <v>840</v>
      </c>
      <c r="BH8" s="92">
        <v>840</v>
      </c>
      <c r="BI8" s="92">
        <v>840</v>
      </c>
      <c r="BJ8" s="92">
        <v>840</v>
      </c>
      <c r="BK8" s="92">
        <v>840</v>
      </c>
      <c r="BL8" s="92">
        <v>840</v>
      </c>
      <c r="BM8" s="92">
        <v>840</v>
      </c>
      <c r="BN8" s="92">
        <v>840</v>
      </c>
      <c r="BO8" s="92">
        <v>840</v>
      </c>
      <c r="BP8" s="92">
        <v>840</v>
      </c>
      <c r="BQ8" s="92">
        <v>840</v>
      </c>
      <c r="BR8" s="92">
        <v>840</v>
      </c>
      <c r="BS8" s="92">
        <v>840</v>
      </c>
      <c r="BT8" s="92">
        <v>840</v>
      </c>
      <c r="BU8" s="92">
        <v>840</v>
      </c>
      <c r="BV8" s="92">
        <v>840</v>
      </c>
      <c r="BW8" s="92">
        <v>840</v>
      </c>
      <c r="BX8" s="92">
        <v>840</v>
      </c>
      <c r="BY8" s="92">
        <v>840</v>
      </c>
      <c r="BZ8" s="92">
        <v>840</v>
      </c>
      <c r="CA8" s="92">
        <v>840</v>
      </c>
      <c r="CB8" s="92">
        <v>840</v>
      </c>
      <c r="CC8" s="92">
        <v>840</v>
      </c>
      <c r="CD8" s="92">
        <v>840</v>
      </c>
      <c r="CE8" s="92">
        <v>840</v>
      </c>
      <c r="CF8" s="92">
        <v>840</v>
      </c>
      <c r="CG8" s="92">
        <v>840</v>
      </c>
      <c r="CH8" s="92">
        <v>840</v>
      </c>
      <c r="CI8" s="92">
        <v>840</v>
      </c>
      <c r="CJ8" s="92">
        <v>840</v>
      </c>
      <c r="CK8" s="92">
        <v>1500</v>
      </c>
      <c r="CL8" s="92">
        <v>1500</v>
      </c>
      <c r="CM8" s="92">
        <v>1500</v>
      </c>
      <c r="CN8" s="92">
        <v>1500</v>
      </c>
      <c r="CO8" s="92">
        <v>6500</v>
      </c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8">
        <f>1500*4</f>
        <v>6000</v>
      </c>
      <c r="DE8" s="38"/>
      <c r="DF8" s="111">
        <v>5000</v>
      </c>
      <c r="DH8" s="8">
        <f>+SUM(AX8:DC8)</f>
        <v>45260</v>
      </c>
      <c r="DJ8" s="80"/>
      <c r="DK8" s="118" t="s">
        <v>129</v>
      </c>
      <c r="DL8" s="118"/>
      <c r="DM8" s="118"/>
      <c r="DN8" s="118"/>
      <c r="DP8" s="9">
        <f>+CJ8</f>
        <v>840</v>
      </c>
      <c r="DQ8" s="8">
        <v>8000</v>
      </c>
      <c r="DR8" s="8" t="s">
        <v>168</v>
      </c>
      <c r="DS8" s="8">
        <v>10000</v>
      </c>
      <c r="DT8" s="9">
        <v>1500</v>
      </c>
      <c r="FN8" s="7">
        <v>840</v>
      </c>
    </row>
    <row r="9" spans="1:170" s="9" customFormat="1" ht="13.5" x14ac:dyDescent="0.25">
      <c r="A9" s="16">
        <v>2</v>
      </c>
      <c r="B9" s="7" t="s">
        <v>73</v>
      </c>
      <c r="C9" s="8" t="s">
        <v>131</v>
      </c>
      <c r="D9" s="7">
        <v>2</v>
      </c>
      <c r="E9" s="7">
        <v>840</v>
      </c>
      <c r="F9" s="7">
        <v>840</v>
      </c>
      <c r="G9" s="7">
        <v>840</v>
      </c>
      <c r="H9" s="7">
        <v>840</v>
      </c>
      <c r="I9" s="7">
        <v>840</v>
      </c>
      <c r="J9" s="7">
        <v>840</v>
      </c>
      <c r="K9" s="7">
        <v>840</v>
      </c>
      <c r="L9" s="7">
        <v>840</v>
      </c>
      <c r="M9" s="7">
        <v>840</v>
      </c>
      <c r="N9" s="7">
        <v>840</v>
      </c>
      <c r="O9" s="7">
        <v>840</v>
      </c>
      <c r="P9" s="7">
        <v>840</v>
      </c>
      <c r="Q9" s="7">
        <v>840</v>
      </c>
      <c r="R9" s="7">
        <v>840</v>
      </c>
      <c r="S9" s="7">
        <v>840</v>
      </c>
      <c r="T9" s="7">
        <v>840</v>
      </c>
      <c r="U9" s="7">
        <v>840</v>
      </c>
      <c r="V9" s="7">
        <v>840</v>
      </c>
      <c r="W9" s="7">
        <v>840</v>
      </c>
      <c r="X9" s="7">
        <v>840</v>
      </c>
      <c r="Y9" s="7">
        <v>840</v>
      </c>
      <c r="Z9" s="7">
        <v>840</v>
      </c>
      <c r="AA9" s="7">
        <v>840</v>
      </c>
      <c r="AB9" s="7">
        <v>840</v>
      </c>
      <c r="AC9" s="7">
        <v>840</v>
      </c>
      <c r="AD9" s="7">
        <v>840</v>
      </c>
      <c r="AE9" s="7">
        <v>840</v>
      </c>
      <c r="AF9" s="7">
        <v>840</v>
      </c>
      <c r="AG9" s="7">
        <v>840</v>
      </c>
      <c r="AH9" s="7">
        <v>840</v>
      </c>
      <c r="AI9" s="7">
        <v>840</v>
      </c>
      <c r="AJ9" s="7">
        <v>840</v>
      </c>
      <c r="AK9" s="7">
        <v>840</v>
      </c>
      <c r="AL9" s="7">
        <v>840</v>
      </c>
      <c r="AM9" s="7">
        <v>840</v>
      </c>
      <c r="AN9" s="7">
        <v>840</v>
      </c>
      <c r="AO9" s="7">
        <v>840</v>
      </c>
      <c r="AP9" s="7">
        <v>840</v>
      </c>
      <c r="AQ9" s="7">
        <v>840</v>
      </c>
      <c r="AR9" s="7">
        <v>840</v>
      </c>
      <c r="AS9" s="7">
        <v>840</v>
      </c>
      <c r="AT9" s="7">
        <v>840</v>
      </c>
      <c r="AU9" s="7">
        <v>840</v>
      </c>
      <c r="AV9" s="7">
        <v>840</v>
      </c>
      <c r="AW9" s="7">
        <v>840</v>
      </c>
      <c r="AX9" s="7">
        <v>840</v>
      </c>
      <c r="AY9" s="7">
        <v>840</v>
      </c>
      <c r="AZ9" s="7">
        <v>840</v>
      </c>
      <c r="BA9" s="7">
        <v>840</v>
      </c>
      <c r="BB9" s="7">
        <v>840</v>
      </c>
      <c r="BC9" s="7">
        <v>840</v>
      </c>
      <c r="BD9" s="7">
        <v>840</v>
      </c>
      <c r="BE9" s="7">
        <v>840</v>
      </c>
      <c r="BF9" s="7">
        <v>840</v>
      </c>
      <c r="BG9" s="92">
        <v>840</v>
      </c>
      <c r="BH9" s="92">
        <v>840</v>
      </c>
      <c r="BI9" s="92">
        <v>840</v>
      </c>
      <c r="BJ9" s="92">
        <v>840</v>
      </c>
      <c r="BK9" s="92">
        <v>840</v>
      </c>
      <c r="BL9" s="92">
        <v>840</v>
      </c>
      <c r="BM9" s="92">
        <v>840</v>
      </c>
      <c r="BN9" s="92">
        <v>840</v>
      </c>
      <c r="BO9" s="92">
        <v>840</v>
      </c>
      <c r="BP9" s="92">
        <v>840</v>
      </c>
      <c r="BQ9" s="92">
        <v>840</v>
      </c>
      <c r="BR9" s="92">
        <v>840</v>
      </c>
      <c r="BS9" s="92">
        <v>840</v>
      </c>
      <c r="BT9" s="92">
        <v>840</v>
      </c>
      <c r="BU9" s="92">
        <v>840</v>
      </c>
      <c r="BV9" s="92">
        <v>840</v>
      </c>
      <c r="BW9" s="92">
        <v>840</v>
      </c>
      <c r="BX9" s="92">
        <v>840</v>
      </c>
      <c r="BY9" s="92">
        <v>840</v>
      </c>
      <c r="BZ9" s="92">
        <v>840</v>
      </c>
      <c r="CA9" s="92">
        <v>840</v>
      </c>
      <c r="CB9" s="92">
        <v>840</v>
      </c>
      <c r="CC9" s="92">
        <v>840</v>
      </c>
      <c r="CD9" s="92">
        <v>840</v>
      </c>
      <c r="CE9" s="92">
        <v>840</v>
      </c>
      <c r="CF9" s="92">
        <v>840</v>
      </c>
      <c r="CG9" s="92">
        <v>840</v>
      </c>
      <c r="CH9" s="92">
        <v>840</v>
      </c>
      <c r="CI9" s="92">
        <v>840</v>
      </c>
      <c r="CJ9" s="92">
        <v>840</v>
      </c>
      <c r="CK9" s="92">
        <v>1500</v>
      </c>
      <c r="CL9" s="92">
        <v>1500</v>
      </c>
      <c r="CM9" s="92">
        <v>1500</v>
      </c>
      <c r="CN9" s="92">
        <v>1500</v>
      </c>
      <c r="CO9" s="92">
        <v>1500</v>
      </c>
      <c r="CP9" s="92">
        <v>1500</v>
      </c>
      <c r="CQ9" s="92">
        <v>1500</v>
      </c>
      <c r="CR9" s="92">
        <v>1500</v>
      </c>
      <c r="CS9" s="92">
        <v>1500</v>
      </c>
      <c r="CT9" s="92">
        <v>1500</v>
      </c>
      <c r="CU9" s="92">
        <v>1500</v>
      </c>
      <c r="CV9" s="92">
        <v>6500</v>
      </c>
      <c r="CW9" s="7"/>
      <c r="CX9" s="7"/>
      <c r="CY9" s="7"/>
      <c r="CZ9" s="7"/>
      <c r="DA9" s="7"/>
      <c r="DB9" s="7"/>
      <c r="DC9" s="7"/>
      <c r="DD9" s="8">
        <v>0</v>
      </c>
      <c r="DE9" s="38" t="s">
        <v>117</v>
      </c>
      <c r="DF9" s="111">
        <v>5000</v>
      </c>
      <c r="DH9" s="8">
        <f>+SUM(BG9:DC9)</f>
        <v>48200</v>
      </c>
      <c r="DJ9" s="82"/>
      <c r="DK9" s="118" t="s">
        <v>163</v>
      </c>
      <c r="DL9" s="118"/>
      <c r="DM9" s="118"/>
      <c r="DN9" s="118"/>
      <c r="DP9" s="9">
        <f>+CJ9</f>
        <v>840</v>
      </c>
      <c r="DQ9" s="8">
        <v>1500</v>
      </c>
      <c r="DR9" s="8" t="s">
        <v>167</v>
      </c>
      <c r="DS9" s="8">
        <v>1500</v>
      </c>
      <c r="DT9" s="9">
        <v>1500</v>
      </c>
      <c r="FN9" s="7">
        <v>840</v>
      </c>
    </row>
    <row r="10" spans="1:170" s="9" customFormat="1" ht="13.5" x14ac:dyDescent="0.25">
      <c r="A10" s="16">
        <v>3</v>
      </c>
      <c r="B10" s="7" t="s">
        <v>73</v>
      </c>
      <c r="C10" s="8" t="s">
        <v>175</v>
      </c>
      <c r="D10" s="7">
        <v>3</v>
      </c>
      <c r="E10" s="7">
        <v>925</v>
      </c>
      <c r="F10" s="7">
        <v>925</v>
      </c>
      <c r="G10" s="7">
        <f>925+200</f>
        <v>1125</v>
      </c>
      <c r="H10" s="7">
        <v>925</v>
      </c>
      <c r="I10" s="7">
        <v>925</v>
      </c>
      <c r="J10" s="7">
        <v>925</v>
      </c>
      <c r="K10" s="7">
        <v>925</v>
      </c>
      <c r="L10" s="7">
        <v>925</v>
      </c>
      <c r="M10" s="7">
        <v>925</v>
      </c>
      <c r="N10" s="7">
        <v>925</v>
      </c>
      <c r="O10" s="7">
        <v>925</v>
      </c>
      <c r="P10" s="7">
        <v>925</v>
      </c>
      <c r="Q10" s="7">
        <v>925</v>
      </c>
      <c r="R10" s="7">
        <v>925</v>
      </c>
      <c r="S10" s="7">
        <v>925</v>
      </c>
      <c r="T10" s="7">
        <v>925</v>
      </c>
      <c r="U10" s="7">
        <v>925</v>
      </c>
      <c r="V10" s="7">
        <v>925</v>
      </c>
      <c r="W10" s="7">
        <v>925</v>
      </c>
      <c r="X10" s="7">
        <v>925</v>
      </c>
      <c r="Y10" s="7">
        <v>925</v>
      </c>
      <c r="Z10" s="7">
        <v>925</v>
      </c>
      <c r="AA10" s="7">
        <v>925</v>
      </c>
      <c r="AB10" s="7">
        <v>925</v>
      </c>
      <c r="AC10" s="7">
        <v>925</v>
      </c>
      <c r="AD10" s="7">
        <v>925</v>
      </c>
      <c r="AE10" s="7">
        <v>925</v>
      </c>
      <c r="AF10" s="7">
        <v>925</v>
      </c>
      <c r="AG10" s="7">
        <v>925</v>
      </c>
      <c r="AH10" s="7">
        <v>925</v>
      </c>
      <c r="AI10" s="7">
        <v>925</v>
      </c>
      <c r="AJ10" s="7">
        <v>925</v>
      </c>
      <c r="AK10" s="7">
        <v>925</v>
      </c>
      <c r="AL10" s="7">
        <v>925</v>
      </c>
      <c r="AM10" s="7">
        <v>925</v>
      </c>
      <c r="AN10" s="7">
        <v>925</v>
      </c>
      <c r="AO10" s="7">
        <v>925</v>
      </c>
      <c r="AP10" s="7">
        <v>925</v>
      </c>
      <c r="AQ10" s="7">
        <v>925</v>
      </c>
      <c r="AR10" s="7">
        <v>925</v>
      </c>
      <c r="AS10" s="92">
        <v>925</v>
      </c>
      <c r="AT10" s="92">
        <v>925</v>
      </c>
      <c r="AU10" s="92">
        <v>925</v>
      </c>
      <c r="AV10" s="92">
        <v>925</v>
      </c>
      <c r="AW10" s="92">
        <v>925</v>
      </c>
      <c r="AX10" s="92">
        <v>925</v>
      </c>
      <c r="AY10" s="92">
        <v>925</v>
      </c>
      <c r="AZ10" s="92">
        <v>925</v>
      </c>
      <c r="BA10" s="92">
        <v>925</v>
      </c>
      <c r="BB10" s="92">
        <v>925</v>
      </c>
      <c r="BC10" s="92">
        <v>925</v>
      </c>
      <c r="BD10" s="92">
        <v>925</v>
      </c>
      <c r="BE10" s="92">
        <v>925</v>
      </c>
      <c r="BF10" s="92">
        <v>925</v>
      </c>
      <c r="BG10" s="92">
        <v>925</v>
      </c>
      <c r="BH10" s="92">
        <v>925</v>
      </c>
      <c r="BI10" s="92">
        <v>925</v>
      </c>
      <c r="BJ10" s="92">
        <v>925</v>
      </c>
      <c r="BK10" s="92">
        <v>925</v>
      </c>
      <c r="BL10" s="92">
        <v>925</v>
      </c>
      <c r="BM10" s="92">
        <v>925</v>
      </c>
      <c r="BN10" s="92">
        <v>925</v>
      </c>
      <c r="BO10" s="92">
        <v>925</v>
      </c>
      <c r="BP10" s="92">
        <v>925</v>
      </c>
      <c r="BQ10" s="92">
        <v>925</v>
      </c>
      <c r="BR10" s="92">
        <v>925</v>
      </c>
      <c r="BS10" s="92">
        <v>925</v>
      </c>
      <c r="BT10" s="92">
        <v>925</v>
      </c>
      <c r="BU10" s="92">
        <v>925</v>
      </c>
      <c r="BV10" s="92">
        <v>925</v>
      </c>
      <c r="BW10" s="92">
        <v>925</v>
      </c>
      <c r="BX10" s="92">
        <v>925</v>
      </c>
      <c r="BY10" s="92">
        <v>925</v>
      </c>
      <c r="BZ10" s="92">
        <v>925</v>
      </c>
      <c r="CA10" s="92">
        <v>925</v>
      </c>
      <c r="CB10" s="92">
        <v>925</v>
      </c>
      <c r="CC10" s="92">
        <v>30925</v>
      </c>
      <c r="CD10" s="92">
        <v>840</v>
      </c>
      <c r="CE10" s="92">
        <v>840</v>
      </c>
      <c r="CF10" s="92">
        <v>840</v>
      </c>
      <c r="CG10" s="92">
        <v>840</v>
      </c>
      <c r="CH10" s="92">
        <v>840</v>
      </c>
      <c r="CI10" s="92">
        <v>840</v>
      </c>
      <c r="CJ10" s="92">
        <f>840+595</f>
        <v>1435</v>
      </c>
      <c r="CK10" s="92">
        <v>6500</v>
      </c>
      <c r="CL10" s="92">
        <v>1500</v>
      </c>
      <c r="CM10" s="92">
        <v>1500</v>
      </c>
      <c r="CN10" s="92">
        <v>1500</v>
      </c>
      <c r="CO10" s="92">
        <v>1000</v>
      </c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8">
        <f>500+1500*4</f>
        <v>6500</v>
      </c>
      <c r="DE10" s="38"/>
      <c r="DF10" s="111">
        <v>5000</v>
      </c>
      <c r="DH10" s="8">
        <f>+SUM(AS10:DC10)</f>
        <v>82700</v>
      </c>
      <c r="DJ10" s="84"/>
      <c r="DK10" s="118" t="s">
        <v>130</v>
      </c>
      <c r="DL10" s="118"/>
      <c r="DM10" s="118"/>
      <c r="DN10" s="118"/>
      <c r="DP10" s="9">
        <f t="shared" ref="DP10:DP72" si="0">+CJ10</f>
        <v>1435</v>
      </c>
      <c r="DQ10" s="8">
        <v>18000</v>
      </c>
      <c r="DR10" s="8" t="s">
        <v>169</v>
      </c>
      <c r="DS10" s="8">
        <v>32000</v>
      </c>
      <c r="DT10" s="9">
        <v>1500</v>
      </c>
      <c r="FN10" s="7">
        <v>925</v>
      </c>
    </row>
    <row r="11" spans="1:170" s="9" customFormat="1" ht="13.5" x14ac:dyDescent="0.25">
      <c r="A11" s="16">
        <v>4</v>
      </c>
      <c r="B11" s="7" t="s">
        <v>73</v>
      </c>
      <c r="C11" s="8" t="s">
        <v>4</v>
      </c>
      <c r="D11" s="7">
        <v>4</v>
      </c>
      <c r="E11" s="7">
        <v>840</v>
      </c>
      <c r="F11" s="7">
        <v>840</v>
      </c>
      <c r="G11" s="7">
        <v>840</v>
      </c>
      <c r="H11" s="7">
        <v>840</v>
      </c>
      <c r="I11" s="7">
        <v>840</v>
      </c>
      <c r="J11" s="7">
        <v>840</v>
      </c>
      <c r="K11" s="7">
        <v>840</v>
      </c>
      <c r="L11" s="7">
        <v>840</v>
      </c>
      <c r="M11" s="7">
        <v>840</v>
      </c>
      <c r="N11" s="7">
        <v>840</v>
      </c>
      <c r="O11" s="7">
        <v>840</v>
      </c>
      <c r="P11" s="7">
        <v>840</v>
      </c>
      <c r="Q11" s="7">
        <v>840</v>
      </c>
      <c r="R11" s="7">
        <v>840</v>
      </c>
      <c r="S11" s="7">
        <v>840</v>
      </c>
      <c r="T11" s="7">
        <v>840</v>
      </c>
      <c r="U11" s="7">
        <v>840</v>
      </c>
      <c r="V11" s="7">
        <v>840</v>
      </c>
      <c r="W11" s="7">
        <v>840</v>
      </c>
      <c r="X11" s="7">
        <v>840</v>
      </c>
      <c r="Y11" s="7">
        <v>840</v>
      </c>
      <c r="Z11" s="7">
        <v>840</v>
      </c>
      <c r="AA11" s="7">
        <v>840</v>
      </c>
      <c r="AB11" s="7">
        <v>840</v>
      </c>
      <c r="AC11" s="7">
        <v>840</v>
      </c>
      <c r="AD11" s="7">
        <v>840</v>
      </c>
      <c r="AE11" s="7">
        <v>840</v>
      </c>
      <c r="AF11" s="7">
        <v>840</v>
      </c>
      <c r="AG11" s="7">
        <v>840</v>
      </c>
      <c r="AH11" s="7">
        <v>840</v>
      </c>
      <c r="AI11" s="7">
        <v>840</v>
      </c>
      <c r="AJ11" s="7">
        <v>840</v>
      </c>
      <c r="AK11" s="7">
        <v>840</v>
      </c>
      <c r="AL11" s="7">
        <v>840</v>
      </c>
      <c r="AM11" s="7">
        <v>840</v>
      </c>
      <c r="AN11" s="7">
        <v>840</v>
      </c>
      <c r="AO11" s="7">
        <v>840</v>
      </c>
      <c r="AP11" s="7">
        <v>840</v>
      </c>
      <c r="AQ11" s="7">
        <v>840</v>
      </c>
      <c r="AR11" s="7">
        <v>840</v>
      </c>
      <c r="AS11" s="7">
        <v>840</v>
      </c>
      <c r="AT11" s="7">
        <v>840</v>
      </c>
      <c r="AU11" s="7">
        <v>840</v>
      </c>
      <c r="AV11" s="7">
        <v>840</v>
      </c>
      <c r="AW11" s="7">
        <v>840</v>
      </c>
      <c r="AX11" s="7">
        <v>840</v>
      </c>
      <c r="AY11" s="7">
        <v>840</v>
      </c>
      <c r="AZ11" s="7">
        <v>840</v>
      </c>
      <c r="BA11" s="7">
        <v>840</v>
      </c>
      <c r="BB11" s="7">
        <v>840</v>
      </c>
      <c r="BC11" s="7">
        <v>840</v>
      </c>
      <c r="BD11" s="92">
        <v>840</v>
      </c>
      <c r="BE11" s="92">
        <v>840</v>
      </c>
      <c r="BF11" s="92">
        <v>840</v>
      </c>
      <c r="BG11" s="92">
        <v>840</v>
      </c>
      <c r="BH11" s="92">
        <v>840</v>
      </c>
      <c r="BI11" s="92">
        <v>840</v>
      </c>
      <c r="BJ11" s="92">
        <v>840</v>
      </c>
      <c r="BK11" s="92">
        <v>840</v>
      </c>
      <c r="BL11" s="92">
        <v>840</v>
      </c>
      <c r="BM11" s="92">
        <v>840</v>
      </c>
      <c r="BN11" s="92">
        <v>840</v>
      </c>
      <c r="BO11" s="92">
        <v>840</v>
      </c>
      <c r="BP11" s="92">
        <v>840</v>
      </c>
      <c r="BQ11" s="92">
        <v>840</v>
      </c>
      <c r="BR11" s="92">
        <v>840</v>
      </c>
      <c r="BS11" s="92">
        <v>840</v>
      </c>
      <c r="BT11" s="92">
        <v>840</v>
      </c>
      <c r="BU11" s="92">
        <v>840</v>
      </c>
      <c r="BV11" s="92">
        <v>840</v>
      </c>
      <c r="BW11" s="92">
        <v>840</v>
      </c>
      <c r="BX11" s="92">
        <v>840</v>
      </c>
      <c r="BY11" s="92">
        <v>840</v>
      </c>
      <c r="BZ11" s="92">
        <v>840</v>
      </c>
      <c r="CA11" s="92">
        <v>840</v>
      </c>
      <c r="CB11" s="92">
        <v>840</v>
      </c>
      <c r="CC11" s="92">
        <v>840</v>
      </c>
      <c r="CD11" s="92">
        <v>840</v>
      </c>
      <c r="CE11" s="92">
        <v>840</v>
      </c>
      <c r="CF11" s="92">
        <v>840</v>
      </c>
      <c r="CG11" s="92">
        <v>840</v>
      </c>
      <c r="CH11" s="92">
        <v>840</v>
      </c>
      <c r="CI11" s="92">
        <v>840</v>
      </c>
      <c r="CJ11" s="92">
        <v>840</v>
      </c>
      <c r="CK11" s="92">
        <v>840</v>
      </c>
      <c r="CL11" s="92">
        <v>840</v>
      </c>
      <c r="CM11" s="92">
        <v>840</v>
      </c>
      <c r="CN11" s="92">
        <v>1500</v>
      </c>
      <c r="CO11" s="92">
        <v>1500</v>
      </c>
      <c r="CP11" s="92">
        <v>1500</v>
      </c>
      <c r="CQ11" s="92">
        <v>1500</v>
      </c>
      <c r="CR11" s="92">
        <v>1500</v>
      </c>
      <c r="CS11" s="92">
        <f>1500+1980</f>
        <v>3480</v>
      </c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8">
        <v>0</v>
      </c>
      <c r="DE11" s="38" t="s">
        <v>110</v>
      </c>
      <c r="DF11" s="111">
        <v>5000</v>
      </c>
      <c r="DH11" s="8">
        <f>+SUM(BD11:DC11)</f>
        <v>41220</v>
      </c>
      <c r="DJ11" s="93"/>
      <c r="DK11" s="118" t="s">
        <v>133</v>
      </c>
      <c r="DL11" s="118"/>
      <c r="DM11" s="118"/>
      <c r="DN11" s="118"/>
      <c r="DP11" s="9">
        <f t="shared" si="0"/>
        <v>840</v>
      </c>
      <c r="DQ11" s="8">
        <v>45000</v>
      </c>
      <c r="DR11" s="8" t="s">
        <v>170</v>
      </c>
      <c r="DS11" s="8">
        <v>45000</v>
      </c>
      <c r="DT11" s="9">
        <v>1500</v>
      </c>
      <c r="FN11" s="7">
        <v>840</v>
      </c>
    </row>
    <row r="12" spans="1:170" s="9" customFormat="1" ht="13.5" x14ac:dyDescent="0.25">
      <c r="A12" s="16">
        <v>5</v>
      </c>
      <c r="B12" s="7" t="s">
        <v>73</v>
      </c>
      <c r="C12" s="8" t="s">
        <v>58</v>
      </c>
      <c r="D12" s="7">
        <v>5</v>
      </c>
      <c r="E12" s="7">
        <v>840</v>
      </c>
      <c r="F12" s="7">
        <v>840</v>
      </c>
      <c r="G12" s="7">
        <v>840</v>
      </c>
      <c r="H12" s="7">
        <v>840</v>
      </c>
      <c r="I12" s="7">
        <v>840</v>
      </c>
      <c r="J12" s="7">
        <v>840</v>
      </c>
      <c r="K12" s="7">
        <v>840</v>
      </c>
      <c r="L12" s="7">
        <v>840</v>
      </c>
      <c r="M12" s="7">
        <v>840</v>
      </c>
      <c r="N12" s="7">
        <v>840</v>
      </c>
      <c r="O12" s="7">
        <v>840</v>
      </c>
      <c r="P12" s="7">
        <v>840</v>
      </c>
      <c r="Q12" s="7">
        <v>840</v>
      </c>
      <c r="R12" s="7">
        <v>840</v>
      </c>
      <c r="S12" s="7">
        <v>840</v>
      </c>
      <c r="T12" s="7">
        <v>840</v>
      </c>
      <c r="U12" s="7">
        <v>840</v>
      </c>
      <c r="V12" s="7">
        <v>840</v>
      </c>
      <c r="W12" s="7">
        <v>840</v>
      </c>
      <c r="X12" s="7">
        <v>840</v>
      </c>
      <c r="Y12" s="7">
        <v>840</v>
      </c>
      <c r="Z12" s="7">
        <v>840</v>
      </c>
      <c r="AA12" s="7">
        <v>840</v>
      </c>
      <c r="AB12" s="7">
        <v>840</v>
      </c>
      <c r="AC12" s="7">
        <v>840</v>
      </c>
      <c r="AD12" s="7">
        <v>840</v>
      </c>
      <c r="AE12" s="7">
        <v>840</v>
      </c>
      <c r="AF12" s="7">
        <v>840</v>
      </c>
      <c r="AG12" s="7">
        <v>840</v>
      </c>
      <c r="AH12" s="7">
        <v>840</v>
      </c>
      <c r="AI12" s="7">
        <v>840</v>
      </c>
      <c r="AJ12" s="7">
        <v>840</v>
      </c>
      <c r="AK12" s="7">
        <v>840</v>
      </c>
      <c r="AL12" s="7">
        <v>840</v>
      </c>
      <c r="AM12" s="7">
        <v>840</v>
      </c>
      <c r="AN12" s="7">
        <v>840</v>
      </c>
      <c r="AO12" s="7">
        <v>840</v>
      </c>
      <c r="AP12" s="7">
        <v>840</v>
      </c>
      <c r="AQ12" s="7">
        <v>840</v>
      </c>
      <c r="AR12" s="7">
        <v>840</v>
      </c>
      <c r="AS12" s="7">
        <v>840</v>
      </c>
      <c r="AT12" s="7">
        <v>840</v>
      </c>
      <c r="AU12" s="92">
        <v>840</v>
      </c>
      <c r="AV12" s="92">
        <v>840</v>
      </c>
      <c r="AW12" s="92">
        <v>840</v>
      </c>
      <c r="AX12" s="92">
        <v>840</v>
      </c>
      <c r="AY12" s="92">
        <v>840</v>
      </c>
      <c r="AZ12" s="92">
        <v>840</v>
      </c>
      <c r="BA12" s="92">
        <v>840</v>
      </c>
      <c r="BB12" s="92">
        <v>840</v>
      </c>
      <c r="BC12" s="92">
        <v>840</v>
      </c>
      <c r="BD12" s="92">
        <v>840</v>
      </c>
      <c r="BE12" s="92">
        <v>840</v>
      </c>
      <c r="BF12" s="92">
        <v>840</v>
      </c>
      <c r="BG12" s="92">
        <v>840</v>
      </c>
      <c r="BH12" s="92">
        <v>840</v>
      </c>
      <c r="BI12" s="92">
        <v>840</v>
      </c>
      <c r="BJ12" s="92">
        <v>840</v>
      </c>
      <c r="BK12" s="92">
        <v>840</v>
      </c>
      <c r="BL12" s="92">
        <v>840</v>
      </c>
      <c r="BM12" s="92">
        <v>840</v>
      </c>
      <c r="BN12" s="92">
        <v>840</v>
      </c>
      <c r="BO12" s="92">
        <v>840</v>
      </c>
      <c r="BP12" s="92">
        <v>840</v>
      </c>
      <c r="BQ12" s="92">
        <v>840</v>
      </c>
      <c r="BR12" s="92">
        <v>840</v>
      </c>
      <c r="BS12" s="92">
        <v>840</v>
      </c>
      <c r="BT12" s="92">
        <v>840</v>
      </c>
      <c r="BU12" s="92">
        <v>840</v>
      </c>
      <c r="BV12" s="92">
        <v>840</v>
      </c>
      <c r="BW12" s="92">
        <v>840</v>
      </c>
      <c r="BX12" s="92">
        <v>840</v>
      </c>
      <c r="BY12" s="92">
        <v>840</v>
      </c>
      <c r="BZ12" s="92">
        <v>840</v>
      </c>
      <c r="CA12" s="92">
        <v>840</v>
      </c>
      <c r="CB12" s="92">
        <v>840</v>
      </c>
      <c r="CC12" s="92">
        <v>840</v>
      </c>
      <c r="CD12" s="92">
        <v>840</v>
      </c>
      <c r="CE12" s="92">
        <v>840</v>
      </c>
      <c r="CF12" s="92">
        <v>840</v>
      </c>
      <c r="CG12" s="92">
        <v>840</v>
      </c>
      <c r="CH12" s="92">
        <v>840</v>
      </c>
      <c r="CI12" s="92">
        <v>840</v>
      </c>
      <c r="CJ12" s="92">
        <v>840</v>
      </c>
      <c r="CK12" s="92">
        <v>1500</v>
      </c>
      <c r="CL12" s="92">
        <v>1500</v>
      </c>
      <c r="CM12" s="92">
        <v>1500</v>
      </c>
      <c r="CN12" s="92">
        <v>1500</v>
      </c>
      <c r="CO12" s="92">
        <v>6500</v>
      </c>
      <c r="CP12" s="92">
        <v>1500</v>
      </c>
      <c r="CQ12" s="92">
        <v>1500</v>
      </c>
      <c r="CR12" s="92">
        <v>1500</v>
      </c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8">
        <v>1500</v>
      </c>
      <c r="DE12" s="38"/>
      <c r="DF12" s="111">
        <v>5000</v>
      </c>
      <c r="DH12" s="8">
        <f>+SUM(AU12:DC12)</f>
        <v>52280</v>
      </c>
      <c r="DP12" s="9">
        <f t="shared" si="0"/>
        <v>840</v>
      </c>
      <c r="DQ12" s="8">
        <v>5000</v>
      </c>
      <c r="DR12" s="8" t="s">
        <v>171</v>
      </c>
      <c r="DS12" s="8">
        <v>5000</v>
      </c>
      <c r="DT12" s="9">
        <v>1500</v>
      </c>
      <c r="FN12" s="7">
        <v>840</v>
      </c>
    </row>
    <row r="13" spans="1:170" s="9" customFormat="1" ht="13.5" x14ac:dyDescent="0.25">
      <c r="A13" s="16">
        <v>6</v>
      </c>
      <c r="B13" s="7" t="s">
        <v>73</v>
      </c>
      <c r="C13" s="8" t="s">
        <v>74</v>
      </c>
      <c r="D13" s="7">
        <v>6</v>
      </c>
      <c r="E13" s="7">
        <v>925</v>
      </c>
      <c r="F13" s="7">
        <v>925</v>
      </c>
      <c r="G13" s="7">
        <v>925</v>
      </c>
      <c r="H13" s="7">
        <v>925</v>
      </c>
      <c r="I13" s="7">
        <v>925</v>
      </c>
      <c r="J13" s="7">
        <v>925</v>
      </c>
      <c r="K13" s="7">
        <v>925</v>
      </c>
      <c r="L13" s="7">
        <v>925</v>
      </c>
      <c r="M13" s="7">
        <v>925</v>
      </c>
      <c r="N13" s="7">
        <v>925</v>
      </c>
      <c r="O13" s="7">
        <v>925</v>
      </c>
      <c r="P13" s="7">
        <v>925</v>
      </c>
      <c r="Q13" s="7">
        <v>925</v>
      </c>
      <c r="R13" s="7">
        <v>925</v>
      </c>
      <c r="S13" s="7">
        <v>925</v>
      </c>
      <c r="T13" s="7">
        <v>925</v>
      </c>
      <c r="U13" s="7">
        <v>925</v>
      </c>
      <c r="V13" s="7">
        <v>925</v>
      </c>
      <c r="W13" s="7">
        <v>925</v>
      </c>
      <c r="X13" s="7">
        <v>925</v>
      </c>
      <c r="Y13" s="7">
        <v>925</v>
      </c>
      <c r="Z13" s="7">
        <v>925</v>
      </c>
      <c r="AA13" s="7">
        <v>925</v>
      </c>
      <c r="AB13" s="7">
        <v>925</v>
      </c>
      <c r="AC13" s="7">
        <v>925</v>
      </c>
      <c r="AD13" s="7">
        <v>925</v>
      </c>
      <c r="AE13" s="7">
        <v>925</v>
      </c>
      <c r="AF13" s="7">
        <v>925</v>
      </c>
      <c r="AG13" s="7">
        <v>925</v>
      </c>
      <c r="AH13" s="7">
        <v>925</v>
      </c>
      <c r="AI13" s="7">
        <v>925</v>
      </c>
      <c r="AJ13" s="7">
        <v>925</v>
      </c>
      <c r="AK13" s="7">
        <v>925</v>
      </c>
      <c r="AL13" s="7">
        <v>925</v>
      </c>
      <c r="AM13" s="7">
        <v>925</v>
      </c>
      <c r="AN13" s="7">
        <v>925</v>
      </c>
      <c r="AO13" s="7">
        <v>925</v>
      </c>
      <c r="AP13" s="7">
        <v>925</v>
      </c>
      <c r="AQ13" s="7">
        <v>925</v>
      </c>
      <c r="AR13" s="92">
        <v>925</v>
      </c>
      <c r="AS13" s="92">
        <v>925</v>
      </c>
      <c r="AT13" s="92">
        <v>925</v>
      </c>
      <c r="AU13" s="92">
        <v>925</v>
      </c>
      <c r="AV13" s="92">
        <v>925</v>
      </c>
      <c r="AW13" s="92">
        <v>925</v>
      </c>
      <c r="AX13" s="92">
        <v>925</v>
      </c>
      <c r="AY13" s="92">
        <v>925</v>
      </c>
      <c r="AZ13" s="92">
        <v>925</v>
      </c>
      <c r="BA13" s="92">
        <v>925</v>
      </c>
      <c r="BB13" s="92">
        <v>925</v>
      </c>
      <c r="BC13" s="92">
        <v>925</v>
      </c>
      <c r="BD13" s="92">
        <v>925</v>
      </c>
      <c r="BE13" s="92">
        <v>925</v>
      </c>
      <c r="BF13" s="92">
        <v>925</v>
      </c>
      <c r="BG13" s="92">
        <v>925</v>
      </c>
      <c r="BH13" s="92">
        <v>925</v>
      </c>
      <c r="BI13" s="92">
        <v>925</v>
      </c>
      <c r="BJ13" s="92">
        <v>925</v>
      </c>
      <c r="BK13" s="92">
        <v>925</v>
      </c>
      <c r="BL13" s="92">
        <v>925</v>
      </c>
      <c r="BM13" s="92">
        <v>925</v>
      </c>
      <c r="BN13" s="92">
        <v>925</v>
      </c>
      <c r="BO13" s="92">
        <v>255</v>
      </c>
      <c r="BP13" s="92">
        <v>925</v>
      </c>
      <c r="BQ13" s="92">
        <v>925</v>
      </c>
      <c r="BR13" s="92">
        <v>925</v>
      </c>
      <c r="BS13" s="92">
        <f>925+670</f>
        <v>1595</v>
      </c>
      <c r="BT13" s="92">
        <v>925</v>
      </c>
      <c r="BU13" s="92">
        <v>925</v>
      </c>
      <c r="BV13" s="92">
        <v>925</v>
      </c>
      <c r="BW13" s="92">
        <v>925</v>
      </c>
      <c r="BX13" s="92">
        <v>925</v>
      </c>
      <c r="BY13" s="92">
        <v>925</v>
      </c>
      <c r="BZ13" s="92">
        <v>925</v>
      </c>
      <c r="CA13" s="92">
        <v>925</v>
      </c>
      <c r="CB13" s="92">
        <v>925</v>
      </c>
      <c r="CC13" s="92">
        <v>925</v>
      </c>
      <c r="CD13" s="92">
        <v>925</v>
      </c>
      <c r="CE13" s="92">
        <v>925</v>
      </c>
      <c r="CF13" s="92">
        <v>925</v>
      </c>
      <c r="CG13" s="92">
        <v>925</v>
      </c>
      <c r="CH13" s="92">
        <v>925</v>
      </c>
      <c r="CI13" s="92">
        <v>925</v>
      </c>
      <c r="CJ13" s="92">
        <f>925+777</f>
        <v>1702</v>
      </c>
      <c r="CK13" s="92">
        <f>2500+1650</f>
        <v>4150</v>
      </c>
      <c r="CL13" s="92">
        <v>2500</v>
      </c>
      <c r="CM13" s="92">
        <v>1650</v>
      </c>
      <c r="CN13" s="92">
        <v>1650</v>
      </c>
      <c r="CO13" s="92">
        <v>1650</v>
      </c>
      <c r="CP13" s="92">
        <v>1650</v>
      </c>
      <c r="CQ13" s="92">
        <v>1650</v>
      </c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8">
        <f>1650*2</f>
        <v>3300</v>
      </c>
      <c r="DE13" s="38"/>
      <c r="DF13" s="111">
        <f>2500+2500</f>
        <v>5000</v>
      </c>
      <c r="DH13" s="8">
        <f>+SUM(AR13:DC13)</f>
        <v>57302</v>
      </c>
      <c r="DP13" s="9">
        <f t="shared" si="0"/>
        <v>1702</v>
      </c>
      <c r="DQ13" s="8">
        <f>10*300</f>
        <v>3000</v>
      </c>
      <c r="DR13" s="8" t="s">
        <v>172</v>
      </c>
      <c r="DS13" s="8">
        <v>3000</v>
      </c>
      <c r="DT13" s="9">
        <v>1650</v>
      </c>
      <c r="FN13" s="7">
        <v>925</v>
      </c>
    </row>
    <row r="14" spans="1:170" s="9" customFormat="1" ht="13.5" x14ac:dyDescent="0.25">
      <c r="A14" s="16">
        <v>7</v>
      </c>
      <c r="B14" s="7" t="s">
        <v>75</v>
      </c>
      <c r="C14" s="8" t="s">
        <v>76</v>
      </c>
      <c r="D14" s="7">
        <v>7</v>
      </c>
      <c r="E14" s="7">
        <v>840</v>
      </c>
      <c r="F14" s="7">
        <v>840</v>
      </c>
      <c r="G14" s="7">
        <v>840</v>
      </c>
      <c r="H14" s="7">
        <v>840</v>
      </c>
      <c r="I14" s="7">
        <v>840</v>
      </c>
      <c r="J14" s="7">
        <v>840</v>
      </c>
      <c r="K14" s="7">
        <v>840</v>
      </c>
      <c r="L14" s="7">
        <v>840</v>
      </c>
      <c r="M14" s="7">
        <v>840</v>
      </c>
      <c r="N14" s="7">
        <v>840</v>
      </c>
      <c r="O14" s="7">
        <v>840</v>
      </c>
      <c r="P14" s="7">
        <v>840</v>
      </c>
      <c r="Q14" s="7">
        <v>840</v>
      </c>
      <c r="R14" s="7">
        <v>840</v>
      </c>
      <c r="S14" s="7">
        <v>840</v>
      </c>
      <c r="T14" s="7">
        <v>840</v>
      </c>
      <c r="U14" s="7">
        <v>840</v>
      </c>
      <c r="V14" s="7">
        <v>840</v>
      </c>
      <c r="W14" s="7">
        <v>840</v>
      </c>
      <c r="X14" s="7">
        <v>840</v>
      </c>
      <c r="Y14" s="7">
        <v>840</v>
      </c>
      <c r="Z14" s="7">
        <v>840</v>
      </c>
      <c r="AA14" s="7">
        <v>840</v>
      </c>
      <c r="AB14" s="7">
        <v>840</v>
      </c>
      <c r="AC14" s="7">
        <v>840</v>
      </c>
      <c r="AD14" s="7">
        <v>840</v>
      </c>
      <c r="AE14" s="7">
        <v>840</v>
      </c>
      <c r="AF14" s="7">
        <v>840</v>
      </c>
      <c r="AG14" s="7">
        <v>840</v>
      </c>
      <c r="AH14" s="7">
        <v>840</v>
      </c>
      <c r="AI14" s="7">
        <v>840</v>
      </c>
      <c r="AJ14" s="7">
        <v>840</v>
      </c>
      <c r="AK14" s="7">
        <v>840</v>
      </c>
      <c r="AL14" s="7">
        <v>840</v>
      </c>
      <c r="AM14" s="7">
        <v>840</v>
      </c>
      <c r="AN14" s="7">
        <v>840</v>
      </c>
      <c r="AO14" s="7">
        <v>840</v>
      </c>
      <c r="AP14" s="7">
        <v>840</v>
      </c>
      <c r="AQ14" s="7">
        <v>840</v>
      </c>
      <c r="AR14" s="7">
        <v>840</v>
      </c>
      <c r="AS14" s="7">
        <v>840</v>
      </c>
      <c r="AT14" s="7">
        <v>840</v>
      </c>
      <c r="AU14" s="7">
        <v>840</v>
      </c>
      <c r="AV14" s="7">
        <v>840</v>
      </c>
      <c r="AW14" s="7">
        <v>840</v>
      </c>
      <c r="AX14" s="7">
        <v>840</v>
      </c>
      <c r="AY14" s="7">
        <v>840</v>
      </c>
      <c r="AZ14" s="7">
        <v>840</v>
      </c>
      <c r="BA14" s="92">
        <v>840</v>
      </c>
      <c r="BB14" s="92">
        <v>840</v>
      </c>
      <c r="BC14" s="92">
        <v>840</v>
      </c>
      <c r="BD14" s="92">
        <v>840</v>
      </c>
      <c r="BE14" s="92">
        <v>840</v>
      </c>
      <c r="BF14" s="92">
        <v>840</v>
      </c>
      <c r="BG14" s="92">
        <v>840</v>
      </c>
      <c r="BH14" s="92">
        <v>840</v>
      </c>
      <c r="BI14" s="92">
        <v>840</v>
      </c>
      <c r="BJ14" s="92">
        <v>840</v>
      </c>
      <c r="BK14" s="92">
        <v>840</v>
      </c>
      <c r="BL14" s="92">
        <v>840</v>
      </c>
      <c r="BM14" s="92">
        <v>840</v>
      </c>
      <c r="BN14" s="92">
        <v>840</v>
      </c>
      <c r="BO14" s="92">
        <v>840</v>
      </c>
      <c r="BP14" s="92">
        <v>840</v>
      </c>
      <c r="BQ14" s="92">
        <v>840</v>
      </c>
      <c r="BR14" s="92">
        <v>840</v>
      </c>
      <c r="BS14" s="92">
        <v>840</v>
      </c>
      <c r="BT14" s="92">
        <v>840</v>
      </c>
      <c r="BU14" s="92">
        <v>840</v>
      </c>
      <c r="BV14" s="92">
        <v>840</v>
      </c>
      <c r="BW14" s="92">
        <v>840</v>
      </c>
      <c r="BX14" s="92">
        <v>840</v>
      </c>
      <c r="BY14" s="92">
        <v>840</v>
      </c>
      <c r="BZ14" s="92">
        <v>840</v>
      </c>
      <c r="CA14" s="92">
        <v>840</v>
      </c>
      <c r="CB14" s="92">
        <v>840</v>
      </c>
      <c r="CC14" s="92">
        <v>840</v>
      </c>
      <c r="CD14" s="92">
        <v>840</v>
      </c>
      <c r="CE14" s="92">
        <v>840</v>
      </c>
      <c r="CF14" s="92">
        <v>840</v>
      </c>
      <c r="CG14" s="92">
        <v>840</v>
      </c>
      <c r="CH14" s="92">
        <v>840</v>
      </c>
      <c r="CI14" s="92">
        <v>840</v>
      </c>
      <c r="CJ14" s="92">
        <v>840</v>
      </c>
      <c r="CK14" s="92">
        <v>840</v>
      </c>
      <c r="CL14" s="92">
        <v>840</v>
      </c>
      <c r="CM14" s="92">
        <v>840</v>
      </c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8">
        <f>9000+1980</f>
        <v>10980</v>
      </c>
      <c r="DE14" s="17" t="s">
        <v>118</v>
      </c>
      <c r="DF14" s="113"/>
      <c r="DH14" s="8">
        <f>+SUM(BA14:DC14)</f>
        <v>32760</v>
      </c>
      <c r="DP14" s="9">
        <f t="shared" si="0"/>
        <v>840</v>
      </c>
      <c r="DQ14" s="110">
        <f>SUM(DQ8:DQ13)</f>
        <v>80500</v>
      </c>
      <c r="DR14" s="8"/>
      <c r="DS14" s="110">
        <f>SUM(DS8:DS13)</f>
        <v>96500</v>
      </c>
      <c r="DT14" s="9">
        <v>1500</v>
      </c>
      <c r="FN14" s="7">
        <v>840</v>
      </c>
    </row>
    <row r="15" spans="1:170" s="9" customFormat="1" ht="13.5" x14ac:dyDescent="0.25">
      <c r="A15" s="16">
        <v>8</v>
      </c>
      <c r="B15" s="7" t="s">
        <v>75</v>
      </c>
      <c r="C15" s="8" t="s">
        <v>125</v>
      </c>
      <c r="D15" s="7">
        <v>8</v>
      </c>
      <c r="E15" s="7">
        <v>840</v>
      </c>
      <c r="F15" s="7">
        <v>840</v>
      </c>
      <c r="G15" s="7">
        <v>840</v>
      </c>
      <c r="H15" s="80">
        <v>840</v>
      </c>
      <c r="I15" s="80">
        <v>840</v>
      </c>
      <c r="J15" s="80">
        <v>840</v>
      </c>
      <c r="K15" s="80">
        <v>840</v>
      </c>
      <c r="L15" s="80">
        <v>840</v>
      </c>
      <c r="M15" s="80">
        <v>840</v>
      </c>
      <c r="N15" s="80">
        <v>840</v>
      </c>
      <c r="O15" s="80">
        <v>840</v>
      </c>
      <c r="P15" s="80">
        <v>840</v>
      </c>
      <c r="Q15" s="80">
        <v>840</v>
      </c>
      <c r="R15" s="80">
        <v>840</v>
      </c>
      <c r="S15" s="80">
        <v>840</v>
      </c>
      <c r="T15" s="80">
        <v>840</v>
      </c>
      <c r="U15" s="80">
        <v>840</v>
      </c>
      <c r="V15" s="80">
        <v>840</v>
      </c>
      <c r="W15" s="80">
        <v>840</v>
      </c>
      <c r="X15" s="80">
        <v>840</v>
      </c>
      <c r="Y15" s="80">
        <v>840</v>
      </c>
      <c r="Z15" s="80">
        <v>840</v>
      </c>
      <c r="AA15" s="80">
        <v>840</v>
      </c>
      <c r="AB15" s="80">
        <v>840</v>
      </c>
      <c r="AC15" s="80">
        <v>840</v>
      </c>
      <c r="AD15" s="80">
        <v>840</v>
      </c>
      <c r="AE15" s="80">
        <v>840</v>
      </c>
      <c r="AF15" s="80">
        <v>840</v>
      </c>
      <c r="AG15" s="80">
        <v>840</v>
      </c>
      <c r="AH15" s="80">
        <v>840</v>
      </c>
      <c r="AI15" s="80">
        <v>840</v>
      </c>
      <c r="AJ15" s="80">
        <v>840</v>
      </c>
      <c r="AK15" s="80">
        <v>840</v>
      </c>
      <c r="AL15" s="92">
        <v>840</v>
      </c>
      <c r="AM15" s="7">
        <v>840</v>
      </c>
      <c r="AN15" s="7">
        <v>840</v>
      </c>
      <c r="AO15" s="7">
        <v>840</v>
      </c>
      <c r="AP15" s="7">
        <v>840</v>
      </c>
      <c r="AQ15" s="7">
        <v>840</v>
      </c>
      <c r="AR15" s="7">
        <v>840</v>
      </c>
      <c r="AS15" s="7">
        <v>840</v>
      </c>
      <c r="AT15" s="7">
        <v>840</v>
      </c>
      <c r="AU15" s="7">
        <v>840</v>
      </c>
      <c r="AV15" s="7">
        <v>840</v>
      </c>
      <c r="AW15" s="7">
        <v>840</v>
      </c>
      <c r="AX15" s="92">
        <v>840</v>
      </c>
      <c r="AY15" s="92">
        <v>840</v>
      </c>
      <c r="AZ15" s="92">
        <v>840</v>
      </c>
      <c r="BA15" s="92">
        <v>840</v>
      </c>
      <c r="BB15" s="92">
        <v>840</v>
      </c>
      <c r="BC15" s="92">
        <v>840</v>
      </c>
      <c r="BD15" s="92">
        <v>840</v>
      </c>
      <c r="BE15" s="92">
        <v>840</v>
      </c>
      <c r="BF15" s="92">
        <v>840</v>
      </c>
      <c r="BG15" s="92">
        <v>840</v>
      </c>
      <c r="BH15" s="92">
        <v>840</v>
      </c>
      <c r="BI15" s="92">
        <v>840</v>
      </c>
      <c r="BJ15" s="92">
        <v>840</v>
      </c>
      <c r="BK15" s="92">
        <v>840</v>
      </c>
      <c r="BL15" s="92">
        <v>840</v>
      </c>
      <c r="BM15" s="92">
        <v>840</v>
      </c>
      <c r="BN15" s="92">
        <v>840</v>
      </c>
      <c r="BO15" s="92">
        <v>840</v>
      </c>
      <c r="BP15" s="92">
        <v>840</v>
      </c>
      <c r="BQ15" s="92">
        <v>840</v>
      </c>
      <c r="BR15" s="92">
        <v>840</v>
      </c>
      <c r="BS15" s="92">
        <v>840</v>
      </c>
      <c r="BT15" s="92">
        <v>840</v>
      </c>
      <c r="BU15" s="92">
        <v>840</v>
      </c>
      <c r="BV15" s="92">
        <v>840</v>
      </c>
      <c r="BW15" s="92">
        <v>840</v>
      </c>
      <c r="BX15" s="92">
        <v>840</v>
      </c>
      <c r="BY15" s="92">
        <v>840</v>
      </c>
      <c r="BZ15" s="92">
        <v>840</v>
      </c>
      <c r="CA15" s="92">
        <v>840</v>
      </c>
      <c r="CB15" s="92">
        <v>840</v>
      </c>
      <c r="CC15" s="92">
        <v>840</v>
      </c>
      <c r="CD15" s="92">
        <v>840</v>
      </c>
      <c r="CE15" s="92">
        <v>840</v>
      </c>
      <c r="CF15" s="92">
        <v>840</v>
      </c>
      <c r="CG15" s="92">
        <v>840</v>
      </c>
      <c r="CH15" s="92">
        <v>840</v>
      </c>
      <c r="CI15" s="92">
        <v>840</v>
      </c>
      <c r="CJ15" s="92">
        <v>840</v>
      </c>
      <c r="CK15" s="92">
        <v>6500</v>
      </c>
      <c r="CL15" s="92">
        <v>1500</v>
      </c>
      <c r="CM15" s="92">
        <v>1500</v>
      </c>
      <c r="CN15" s="92">
        <v>540</v>
      </c>
      <c r="CO15" s="92">
        <v>2460</v>
      </c>
      <c r="CP15" s="92">
        <v>1500</v>
      </c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8">
        <f>1500*3</f>
        <v>4500</v>
      </c>
      <c r="DE15" s="17" t="s">
        <v>111</v>
      </c>
      <c r="DF15" s="111">
        <v>5000</v>
      </c>
      <c r="DH15" s="8">
        <f>+SUM(AX15:DC15)+AL15</f>
        <v>47600</v>
      </c>
      <c r="DP15" s="9">
        <f t="shared" si="0"/>
        <v>840</v>
      </c>
      <c r="DT15" s="9">
        <v>1500</v>
      </c>
      <c r="FN15" s="7">
        <v>840</v>
      </c>
    </row>
    <row r="16" spans="1:170" s="9" customFormat="1" ht="13.5" x14ac:dyDescent="0.25">
      <c r="A16" s="16">
        <v>9</v>
      </c>
      <c r="B16" s="7" t="s">
        <v>75</v>
      </c>
      <c r="C16" s="8" t="s">
        <v>59</v>
      </c>
      <c r="D16" s="7">
        <v>9</v>
      </c>
      <c r="E16" s="7">
        <v>924</v>
      </c>
      <c r="F16" s="7">
        <v>924</v>
      </c>
      <c r="G16" s="7">
        <v>924</v>
      </c>
      <c r="H16" s="7">
        <v>924</v>
      </c>
      <c r="I16" s="7">
        <v>924</v>
      </c>
      <c r="J16" s="7">
        <v>924</v>
      </c>
      <c r="K16" s="7">
        <v>924</v>
      </c>
      <c r="L16" s="7">
        <v>924</v>
      </c>
      <c r="M16" s="7">
        <v>924</v>
      </c>
      <c r="N16" s="7">
        <v>924</v>
      </c>
      <c r="O16" s="7">
        <v>924</v>
      </c>
      <c r="P16" s="7">
        <v>924</v>
      </c>
      <c r="Q16" s="7">
        <v>924</v>
      </c>
      <c r="R16" s="7">
        <v>924</v>
      </c>
      <c r="S16" s="7">
        <v>925</v>
      </c>
      <c r="T16" s="7">
        <v>925</v>
      </c>
      <c r="U16" s="7">
        <v>925</v>
      </c>
      <c r="V16" s="7">
        <v>925</v>
      </c>
      <c r="W16" s="7">
        <v>920</v>
      </c>
      <c r="X16" s="7">
        <v>925</v>
      </c>
      <c r="Y16" s="7">
        <v>925</v>
      </c>
      <c r="Z16" s="7">
        <v>925</v>
      </c>
      <c r="AA16" s="7">
        <v>925</v>
      </c>
      <c r="AB16" s="7">
        <v>925</v>
      </c>
      <c r="AC16" s="7">
        <v>925</v>
      </c>
      <c r="AD16" s="7">
        <v>925</v>
      </c>
      <c r="AE16" s="7">
        <v>925</v>
      </c>
      <c r="AF16" s="7">
        <v>925</v>
      </c>
      <c r="AG16" s="7">
        <v>925</v>
      </c>
      <c r="AH16" s="7">
        <v>925</v>
      </c>
      <c r="AI16" s="7">
        <v>925</v>
      </c>
      <c r="AJ16" s="7">
        <v>925</v>
      </c>
      <c r="AK16" s="7">
        <v>925</v>
      </c>
      <c r="AL16" s="7">
        <v>925</v>
      </c>
      <c r="AM16" s="7">
        <v>925</v>
      </c>
      <c r="AN16" s="7">
        <v>925</v>
      </c>
      <c r="AO16" s="7">
        <v>925</v>
      </c>
      <c r="AP16" s="7">
        <v>925</v>
      </c>
      <c r="AQ16" s="7">
        <v>925</v>
      </c>
      <c r="AR16" s="7">
        <v>925</v>
      </c>
      <c r="AS16" s="7">
        <v>925</v>
      </c>
      <c r="AT16" s="7">
        <v>925</v>
      </c>
      <c r="AU16" s="7">
        <v>925</v>
      </c>
      <c r="AV16" s="7">
        <v>925</v>
      </c>
      <c r="AW16" s="7">
        <v>925</v>
      </c>
      <c r="AX16" s="7">
        <v>925</v>
      </c>
      <c r="AY16" s="92">
        <v>925</v>
      </c>
      <c r="AZ16" s="92">
        <v>925</v>
      </c>
      <c r="BA16" s="92">
        <v>925</v>
      </c>
      <c r="BB16" s="92">
        <v>925</v>
      </c>
      <c r="BC16" s="92">
        <v>925</v>
      </c>
      <c r="BD16" s="92">
        <v>925</v>
      </c>
      <c r="BE16" s="92">
        <v>925</v>
      </c>
      <c r="BF16" s="92">
        <v>925</v>
      </c>
      <c r="BG16" s="92">
        <v>925</v>
      </c>
      <c r="BH16" s="92">
        <v>925</v>
      </c>
      <c r="BI16" s="92">
        <v>925</v>
      </c>
      <c r="BJ16" s="92">
        <v>925</v>
      </c>
      <c r="BK16" s="92">
        <v>925</v>
      </c>
      <c r="BL16" s="92">
        <v>925</v>
      </c>
      <c r="BM16" s="92">
        <v>925</v>
      </c>
      <c r="BN16" s="92">
        <v>925</v>
      </c>
      <c r="BO16" s="92">
        <v>925</v>
      </c>
      <c r="BP16" s="92">
        <v>925</v>
      </c>
      <c r="BQ16" s="92">
        <v>925</v>
      </c>
      <c r="BR16" s="92">
        <v>925</v>
      </c>
      <c r="BS16" s="92">
        <v>925</v>
      </c>
      <c r="BT16" s="92">
        <v>925</v>
      </c>
      <c r="BU16" s="92">
        <v>925</v>
      </c>
      <c r="BV16" s="92">
        <v>925</v>
      </c>
      <c r="BW16" s="92">
        <v>925</v>
      </c>
      <c r="BX16" s="92">
        <v>925</v>
      </c>
      <c r="BY16" s="92">
        <v>925</v>
      </c>
      <c r="BZ16" s="92">
        <v>925</v>
      </c>
      <c r="CA16" s="92">
        <v>925</v>
      </c>
      <c r="CB16" s="92">
        <v>925</v>
      </c>
      <c r="CC16" s="92">
        <v>925</v>
      </c>
      <c r="CD16" s="92">
        <v>925</v>
      </c>
      <c r="CE16" s="92">
        <v>925</v>
      </c>
      <c r="CF16" s="92">
        <v>925</v>
      </c>
      <c r="CG16" s="92">
        <v>925</v>
      </c>
      <c r="CH16" s="92">
        <v>925</v>
      </c>
      <c r="CI16" s="92">
        <v>925</v>
      </c>
      <c r="CJ16" s="92">
        <v>925</v>
      </c>
      <c r="CK16" s="92">
        <v>925</v>
      </c>
      <c r="CL16" s="92">
        <v>1650</v>
      </c>
      <c r="CM16" s="92">
        <v>1650</v>
      </c>
      <c r="CN16" s="92">
        <f>1650+725</f>
        <v>2375</v>
      </c>
      <c r="CO16" s="92">
        <v>1650</v>
      </c>
      <c r="CP16" s="92">
        <v>1650</v>
      </c>
      <c r="CQ16" s="92">
        <v>1650</v>
      </c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8">
        <f>1650*2</f>
        <v>3300</v>
      </c>
      <c r="DE16" s="38"/>
      <c r="DF16" s="111">
        <v>5000</v>
      </c>
      <c r="DH16" s="8">
        <f>+SUM(AY16:DC16)</f>
        <v>46700</v>
      </c>
      <c r="DP16" s="9">
        <v>925</v>
      </c>
      <c r="DT16" s="9">
        <v>1650</v>
      </c>
      <c r="FN16" s="7">
        <v>925</v>
      </c>
    </row>
    <row r="17" spans="1:170" s="9" customFormat="1" ht="13.5" x14ac:dyDescent="0.25">
      <c r="A17" s="16">
        <v>10</v>
      </c>
      <c r="B17" s="7" t="s">
        <v>75</v>
      </c>
      <c r="C17" s="8" t="s">
        <v>5</v>
      </c>
      <c r="D17" s="7">
        <v>10</v>
      </c>
      <c r="E17" s="7">
        <v>840</v>
      </c>
      <c r="F17" s="7">
        <v>840</v>
      </c>
      <c r="G17" s="7">
        <v>840</v>
      </c>
      <c r="H17" s="7">
        <v>840</v>
      </c>
      <c r="I17" s="7">
        <v>840</v>
      </c>
      <c r="J17" s="7">
        <v>840</v>
      </c>
      <c r="K17" s="7">
        <v>840</v>
      </c>
      <c r="L17" s="7">
        <v>840</v>
      </c>
      <c r="M17" s="7">
        <v>840</v>
      </c>
      <c r="N17" s="7">
        <v>840</v>
      </c>
      <c r="O17" s="7">
        <v>840</v>
      </c>
      <c r="P17" s="7">
        <v>840</v>
      </c>
      <c r="Q17" s="7">
        <v>840</v>
      </c>
      <c r="R17" s="7">
        <v>840</v>
      </c>
      <c r="S17" s="7">
        <v>840</v>
      </c>
      <c r="T17" s="7">
        <v>840</v>
      </c>
      <c r="U17" s="7">
        <v>840</v>
      </c>
      <c r="V17" s="7">
        <v>840</v>
      </c>
      <c r="W17" s="7">
        <v>840</v>
      </c>
      <c r="X17" s="7">
        <v>840</v>
      </c>
      <c r="Y17" s="7">
        <v>840</v>
      </c>
      <c r="Z17" s="7">
        <v>840</v>
      </c>
      <c r="AA17" s="7">
        <v>840</v>
      </c>
      <c r="AB17" s="7">
        <v>840</v>
      </c>
      <c r="AC17" s="7">
        <v>840</v>
      </c>
      <c r="AD17" s="7">
        <v>840</v>
      </c>
      <c r="AE17" s="7">
        <v>840</v>
      </c>
      <c r="AF17" s="7">
        <v>840</v>
      </c>
      <c r="AG17" s="7">
        <v>840</v>
      </c>
      <c r="AH17" s="7">
        <v>840</v>
      </c>
      <c r="AI17" s="7">
        <v>840</v>
      </c>
      <c r="AJ17" s="7">
        <v>840</v>
      </c>
      <c r="AK17" s="7">
        <v>840</v>
      </c>
      <c r="AL17" s="7">
        <v>840</v>
      </c>
      <c r="AM17" s="7">
        <v>840</v>
      </c>
      <c r="AN17" s="7">
        <v>840</v>
      </c>
      <c r="AO17" s="7">
        <v>840</v>
      </c>
      <c r="AP17" s="7">
        <v>840</v>
      </c>
      <c r="AQ17" s="7">
        <v>840</v>
      </c>
      <c r="AR17" s="7">
        <v>840</v>
      </c>
      <c r="AS17" s="7">
        <v>840</v>
      </c>
      <c r="AT17" s="7">
        <v>840</v>
      </c>
      <c r="AU17" s="7">
        <v>840</v>
      </c>
      <c r="AV17" s="7">
        <v>840</v>
      </c>
      <c r="AW17" s="7">
        <v>840</v>
      </c>
      <c r="AX17" s="7">
        <v>840</v>
      </c>
      <c r="AY17" s="7">
        <v>840</v>
      </c>
      <c r="AZ17" s="7">
        <v>840</v>
      </c>
      <c r="BA17" s="92">
        <v>840</v>
      </c>
      <c r="BB17" s="92">
        <v>840</v>
      </c>
      <c r="BC17" s="92">
        <v>840</v>
      </c>
      <c r="BD17" s="92">
        <v>840</v>
      </c>
      <c r="BE17" s="92">
        <v>840</v>
      </c>
      <c r="BF17" s="92">
        <v>840</v>
      </c>
      <c r="BG17" s="92">
        <v>840</v>
      </c>
      <c r="BH17" s="92">
        <v>840</v>
      </c>
      <c r="BI17" s="92">
        <v>840</v>
      </c>
      <c r="BJ17" s="92">
        <v>840</v>
      </c>
      <c r="BK17" s="92">
        <v>925</v>
      </c>
      <c r="BL17" s="92">
        <v>925</v>
      </c>
      <c r="BM17" s="92">
        <v>925</v>
      </c>
      <c r="BN17" s="92">
        <v>925</v>
      </c>
      <c r="BO17" s="92">
        <v>925</v>
      </c>
      <c r="BP17" s="92">
        <v>925</v>
      </c>
      <c r="BQ17" s="92">
        <v>925</v>
      </c>
      <c r="BR17" s="92">
        <v>925</v>
      </c>
      <c r="BS17" s="92">
        <v>925</v>
      </c>
      <c r="BT17" s="92">
        <v>925</v>
      </c>
      <c r="BU17" s="92">
        <v>925</v>
      </c>
      <c r="BV17" s="92">
        <v>925</v>
      </c>
      <c r="BW17" s="92">
        <v>925</v>
      </c>
      <c r="BX17" s="92">
        <v>925</v>
      </c>
      <c r="BY17" s="92">
        <v>925</v>
      </c>
      <c r="BZ17" s="92">
        <v>925</v>
      </c>
      <c r="CA17" s="92">
        <v>925</v>
      </c>
      <c r="CB17" s="92">
        <v>925</v>
      </c>
      <c r="CC17" s="92">
        <v>925</v>
      </c>
      <c r="CD17" s="92">
        <v>925</v>
      </c>
      <c r="CE17" s="92">
        <v>925</v>
      </c>
      <c r="CF17" s="92">
        <v>925</v>
      </c>
      <c r="CG17" s="92">
        <v>925</v>
      </c>
      <c r="CH17" s="92">
        <v>925</v>
      </c>
      <c r="CI17" s="92">
        <v>925</v>
      </c>
      <c r="CJ17" s="92">
        <f>2500+925</f>
        <v>3425</v>
      </c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8">
        <f>1650*9</f>
        <v>14850</v>
      </c>
      <c r="DE17" s="38"/>
      <c r="DF17" s="111">
        <v>2500</v>
      </c>
      <c r="DH17" s="8">
        <f>+SUM(BA17:DC17)</f>
        <v>34950</v>
      </c>
      <c r="DP17" s="9">
        <f t="shared" si="0"/>
        <v>3425</v>
      </c>
      <c r="DT17" s="9">
        <v>1650</v>
      </c>
      <c r="FN17" s="7">
        <v>840</v>
      </c>
    </row>
    <row r="18" spans="1:170" s="9" customFormat="1" ht="13.5" x14ac:dyDescent="0.25">
      <c r="A18" s="16">
        <v>11</v>
      </c>
      <c r="B18" s="7" t="s">
        <v>75</v>
      </c>
      <c r="C18" s="8" t="s">
        <v>6</v>
      </c>
      <c r="D18" s="7">
        <v>11</v>
      </c>
      <c r="E18" s="7">
        <v>840</v>
      </c>
      <c r="F18" s="7">
        <v>840</v>
      </c>
      <c r="G18" s="7">
        <v>840</v>
      </c>
      <c r="H18" s="7">
        <v>840</v>
      </c>
      <c r="I18" s="7">
        <v>840</v>
      </c>
      <c r="J18" s="7">
        <v>840</v>
      </c>
      <c r="K18" s="7">
        <v>840</v>
      </c>
      <c r="L18" s="7">
        <v>840</v>
      </c>
      <c r="M18" s="7">
        <v>840</v>
      </c>
      <c r="N18" s="7">
        <v>840</v>
      </c>
      <c r="O18" s="7">
        <v>840</v>
      </c>
      <c r="P18" s="7">
        <v>840</v>
      </c>
      <c r="Q18" s="7">
        <v>840</v>
      </c>
      <c r="R18" s="7">
        <v>840</v>
      </c>
      <c r="S18" s="7">
        <v>840</v>
      </c>
      <c r="T18" s="7">
        <v>840</v>
      </c>
      <c r="U18" s="7">
        <v>840</v>
      </c>
      <c r="V18" s="7">
        <v>840</v>
      </c>
      <c r="W18" s="7">
        <v>840</v>
      </c>
      <c r="X18" s="7">
        <v>840</v>
      </c>
      <c r="Y18" s="7">
        <v>840</v>
      </c>
      <c r="Z18" s="7">
        <v>840</v>
      </c>
      <c r="AA18" s="7">
        <v>840</v>
      </c>
      <c r="AB18" s="7">
        <v>840</v>
      </c>
      <c r="AC18" s="7">
        <v>840</v>
      </c>
      <c r="AD18" s="7">
        <v>840</v>
      </c>
      <c r="AE18" s="7">
        <v>840</v>
      </c>
      <c r="AF18" s="7">
        <v>840</v>
      </c>
      <c r="AG18" s="7">
        <v>840</v>
      </c>
      <c r="AH18" s="7">
        <v>840</v>
      </c>
      <c r="AI18" s="7">
        <v>840</v>
      </c>
      <c r="AJ18" s="7">
        <v>840</v>
      </c>
      <c r="AK18" s="7">
        <v>840</v>
      </c>
      <c r="AL18" s="7">
        <v>840</v>
      </c>
      <c r="AM18" s="7">
        <v>840</v>
      </c>
      <c r="AN18" s="7">
        <v>840</v>
      </c>
      <c r="AO18" s="7">
        <v>840</v>
      </c>
      <c r="AP18" s="7">
        <v>840</v>
      </c>
      <c r="AQ18" s="7">
        <v>840</v>
      </c>
      <c r="AR18" s="7">
        <v>840</v>
      </c>
      <c r="AS18" s="7">
        <v>840</v>
      </c>
      <c r="AT18" s="7">
        <v>840</v>
      </c>
      <c r="AU18" s="7">
        <v>840</v>
      </c>
      <c r="AV18" s="92">
        <v>840</v>
      </c>
      <c r="AW18" s="92">
        <v>840</v>
      </c>
      <c r="AX18" s="92">
        <v>840</v>
      </c>
      <c r="AY18" s="92">
        <v>840</v>
      </c>
      <c r="AZ18" s="92">
        <v>840</v>
      </c>
      <c r="BA18" s="92">
        <v>840</v>
      </c>
      <c r="BB18" s="92">
        <v>840</v>
      </c>
      <c r="BC18" s="92">
        <v>840</v>
      </c>
      <c r="BD18" s="92">
        <v>840</v>
      </c>
      <c r="BE18" s="92">
        <v>840</v>
      </c>
      <c r="BF18" s="92">
        <v>840</v>
      </c>
      <c r="BG18" s="92">
        <v>840</v>
      </c>
      <c r="BH18" s="92">
        <v>840</v>
      </c>
      <c r="BI18" s="92">
        <v>840</v>
      </c>
      <c r="BJ18" s="92">
        <v>840</v>
      </c>
      <c r="BK18" s="92">
        <v>840</v>
      </c>
      <c r="BL18" s="92">
        <v>840</v>
      </c>
      <c r="BM18" s="92">
        <v>840</v>
      </c>
      <c r="BN18" s="92">
        <v>840</v>
      </c>
      <c r="BO18" s="92">
        <v>840</v>
      </c>
      <c r="BP18" s="92">
        <v>840</v>
      </c>
      <c r="BQ18" s="92">
        <v>840</v>
      </c>
      <c r="BR18" s="92">
        <v>840</v>
      </c>
      <c r="BS18" s="92">
        <v>840</v>
      </c>
      <c r="BT18" s="92">
        <v>840</v>
      </c>
      <c r="BU18" s="92">
        <v>840</v>
      </c>
      <c r="BV18" s="92">
        <v>840</v>
      </c>
      <c r="BW18" s="92">
        <v>840</v>
      </c>
      <c r="BX18" s="92">
        <v>840</v>
      </c>
      <c r="BY18" s="92">
        <v>840</v>
      </c>
      <c r="BZ18" s="92">
        <v>840</v>
      </c>
      <c r="CA18" s="92">
        <v>840</v>
      </c>
      <c r="CB18" s="92">
        <v>840</v>
      </c>
      <c r="CC18" s="92">
        <v>840</v>
      </c>
      <c r="CD18" s="92">
        <v>840</v>
      </c>
      <c r="CE18" s="92">
        <v>840</v>
      </c>
      <c r="CF18" s="92">
        <v>840</v>
      </c>
      <c r="CG18" s="92">
        <v>840</v>
      </c>
      <c r="CH18" s="92">
        <v>840</v>
      </c>
      <c r="CI18" s="92">
        <v>840</v>
      </c>
      <c r="CJ18" s="92">
        <v>840</v>
      </c>
      <c r="CK18" s="92">
        <v>840</v>
      </c>
      <c r="CL18" s="92">
        <v>840</v>
      </c>
      <c r="CM18" s="92">
        <v>5840</v>
      </c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8">
        <f>1980+1500*6</f>
        <v>10980</v>
      </c>
      <c r="DE18" s="38"/>
      <c r="DF18" s="111">
        <v>5000</v>
      </c>
      <c r="DH18" s="8">
        <f>+SUM(AV18:DC18)</f>
        <v>41960</v>
      </c>
      <c r="DP18" s="9">
        <f t="shared" si="0"/>
        <v>840</v>
      </c>
      <c r="DT18" s="9">
        <v>1500</v>
      </c>
      <c r="FN18" s="7">
        <v>840</v>
      </c>
    </row>
    <row r="19" spans="1:170" s="9" customFormat="1" ht="13.5" x14ac:dyDescent="0.25">
      <c r="A19" s="16">
        <v>12</v>
      </c>
      <c r="B19" s="7" t="s">
        <v>75</v>
      </c>
      <c r="C19" s="8" t="s">
        <v>7</v>
      </c>
      <c r="D19" s="7">
        <v>12</v>
      </c>
      <c r="E19" s="7">
        <v>840</v>
      </c>
      <c r="F19" s="7">
        <v>840</v>
      </c>
      <c r="G19" s="7">
        <v>840</v>
      </c>
      <c r="H19" s="7">
        <v>840</v>
      </c>
      <c r="I19" s="7">
        <v>840</v>
      </c>
      <c r="J19" s="7">
        <v>840</v>
      </c>
      <c r="K19" s="7">
        <v>840</v>
      </c>
      <c r="L19" s="7">
        <v>840</v>
      </c>
      <c r="M19" s="7">
        <v>840</v>
      </c>
      <c r="N19" s="7">
        <v>840</v>
      </c>
      <c r="O19" s="7">
        <v>840</v>
      </c>
      <c r="P19" s="7">
        <v>840</v>
      </c>
      <c r="Q19" s="7">
        <v>840</v>
      </c>
      <c r="R19" s="7">
        <v>840</v>
      </c>
      <c r="S19" s="7">
        <v>840</v>
      </c>
      <c r="T19" s="7">
        <v>840</v>
      </c>
      <c r="U19" s="7">
        <v>840</v>
      </c>
      <c r="V19" s="7">
        <v>840</v>
      </c>
      <c r="W19" s="7">
        <v>840</v>
      </c>
      <c r="X19" s="7">
        <v>840</v>
      </c>
      <c r="Y19" s="7">
        <v>840</v>
      </c>
      <c r="Z19" s="7">
        <v>840</v>
      </c>
      <c r="AA19" s="7">
        <v>840</v>
      </c>
      <c r="AB19" s="7">
        <v>840</v>
      </c>
      <c r="AC19" s="7">
        <v>840</v>
      </c>
      <c r="AD19" s="7">
        <v>840</v>
      </c>
      <c r="AE19" s="7">
        <v>840</v>
      </c>
      <c r="AF19" s="7">
        <v>840</v>
      </c>
      <c r="AG19" s="7">
        <v>840</v>
      </c>
      <c r="AH19" s="7">
        <v>840</v>
      </c>
      <c r="AI19" s="7">
        <v>840</v>
      </c>
      <c r="AJ19" s="7">
        <v>840</v>
      </c>
      <c r="AK19" s="7">
        <v>840</v>
      </c>
      <c r="AL19" s="7">
        <v>840</v>
      </c>
      <c r="AM19" s="7">
        <v>840</v>
      </c>
      <c r="AN19" s="7">
        <v>840</v>
      </c>
      <c r="AO19" s="7">
        <v>840</v>
      </c>
      <c r="AP19" s="7">
        <v>840</v>
      </c>
      <c r="AQ19" s="7">
        <v>840</v>
      </c>
      <c r="AR19" s="7">
        <v>840</v>
      </c>
      <c r="AS19" s="7">
        <v>840</v>
      </c>
      <c r="AT19" s="7">
        <v>840</v>
      </c>
      <c r="AU19" s="7">
        <v>840</v>
      </c>
      <c r="AV19" s="7">
        <v>840</v>
      </c>
      <c r="AW19" s="7">
        <v>840</v>
      </c>
      <c r="AX19" s="92">
        <v>840</v>
      </c>
      <c r="AY19" s="92">
        <v>840</v>
      </c>
      <c r="AZ19" s="92">
        <v>840</v>
      </c>
      <c r="BA19" s="92">
        <v>840</v>
      </c>
      <c r="BB19" s="92">
        <v>840</v>
      </c>
      <c r="BC19" s="92">
        <v>840</v>
      </c>
      <c r="BD19" s="92">
        <v>840</v>
      </c>
      <c r="BE19" s="92">
        <v>840</v>
      </c>
      <c r="BF19" s="92">
        <v>840</v>
      </c>
      <c r="BG19" s="92">
        <v>840</v>
      </c>
      <c r="BH19" s="92">
        <v>840</v>
      </c>
      <c r="BI19" s="92">
        <v>840</v>
      </c>
      <c r="BJ19" s="92">
        <v>840</v>
      </c>
      <c r="BK19" s="92">
        <v>840</v>
      </c>
      <c r="BL19" s="92">
        <v>840</v>
      </c>
      <c r="BM19" s="92">
        <v>840</v>
      </c>
      <c r="BN19" s="92">
        <v>840</v>
      </c>
      <c r="BO19" s="92">
        <v>840</v>
      </c>
      <c r="BP19" s="92">
        <v>840</v>
      </c>
      <c r="BQ19" s="92">
        <v>840</v>
      </c>
      <c r="BR19" s="92">
        <v>840</v>
      </c>
      <c r="BS19" s="92">
        <v>840</v>
      </c>
      <c r="BT19" s="92">
        <v>840</v>
      </c>
      <c r="BU19" s="92">
        <v>840</v>
      </c>
      <c r="BV19" s="92">
        <v>840</v>
      </c>
      <c r="BW19" s="92">
        <v>840</v>
      </c>
      <c r="BX19" s="92">
        <v>840</v>
      </c>
      <c r="BY19" s="92">
        <v>840</v>
      </c>
      <c r="BZ19" s="92">
        <v>840</v>
      </c>
      <c r="CA19" s="92">
        <v>840</v>
      </c>
      <c r="CB19" s="92">
        <v>840</v>
      </c>
      <c r="CC19" s="92">
        <v>840</v>
      </c>
      <c r="CD19" s="92">
        <v>840</v>
      </c>
      <c r="CE19" s="92">
        <v>840</v>
      </c>
      <c r="CF19" s="92">
        <v>840</v>
      </c>
      <c r="CG19" s="92">
        <v>840</v>
      </c>
      <c r="CH19" s="92">
        <v>840</v>
      </c>
      <c r="CI19" s="92">
        <v>840</v>
      </c>
      <c r="CJ19" s="92">
        <v>840</v>
      </c>
      <c r="CK19" s="92">
        <v>840</v>
      </c>
      <c r="CL19" s="92">
        <v>840</v>
      </c>
      <c r="CM19" s="92">
        <v>840</v>
      </c>
      <c r="CN19" s="92">
        <v>1500</v>
      </c>
      <c r="CO19" s="92">
        <v>1500</v>
      </c>
      <c r="CP19" s="92">
        <f>1500+1980</f>
        <v>3480</v>
      </c>
      <c r="CQ19" s="92">
        <v>1500</v>
      </c>
      <c r="CR19" s="92">
        <v>1500</v>
      </c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8">
        <v>1500</v>
      </c>
      <c r="DE19" s="38"/>
      <c r="DF19" s="111">
        <v>5000</v>
      </c>
      <c r="DH19" s="8">
        <f>+SUM(AX19:DC19)</f>
        <v>44760</v>
      </c>
      <c r="DP19" s="9">
        <f t="shared" si="0"/>
        <v>840</v>
      </c>
      <c r="DT19" s="9">
        <v>1500</v>
      </c>
      <c r="FN19" s="7">
        <v>940</v>
      </c>
    </row>
    <row r="20" spans="1:170" s="9" customFormat="1" ht="13.5" x14ac:dyDescent="0.25">
      <c r="A20" s="16">
        <v>13</v>
      </c>
      <c r="B20" s="7" t="s">
        <v>75</v>
      </c>
      <c r="C20" s="8" t="s">
        <v>8</v>
      </c>
      <c r="D20" s="7">
        <v>13</v>
      </c>
      <c r="E20" s="7">
        <v>840</v>
      </c>
      <c r="F20" s="7">
        <v>840</v>
      </c>
      <c r="G20" s="7">
        <v>840</v>
      </c>
      <c r="H20" s="7">
        <v>840</v>
      </c>
      <c r="I20" s="7">
        <v>840</v>
      </c>
      <c r="J20" s="7">
        <v>840</v>
      </c>
      <c r="K20" s="7">
        <v>840</v>
      </c>
      <c r="L20" s="7">
        <v>840</v>
      </c>
      <c r="M20" s="7">
        <v>840</v>
      </c>
      <c r="N20" s="7">
        <v>840</v>
      </c>
      <c r="O20" s="7">
        <v>840</v>
      </c>
      <c r="P20" s="7">
        <v>840</v>
      </c>
      <c r="Q20" s="7">
        <v>924</v>
      </c>
      <c r="R20" s="7">
        <v>924</v>
      </c>
      <c r="S20" s="7">
        <v>924</v>
      </c>
      <c r="T20" s="7">
        <v>924</v>
      </c>
      <c r="U20" s="7">
        <v>924</v>
      </c>
      <c r="V20" s="7">
        <v>924</v>
      </c>
      <c r="W20" s="7">
        <v>924</v>
      </c>
      <c r="X20" s="7">
        <v>924</v>
      </c>
      <c r="Y20" s="7">
        <v>924</v>
      </c>
      <c r="Z20" s="7">
        <v>924</v>
      </c>
      <c r="AA20" s="7">
        <v>924</v>
      </c>
      <c r="AB20" s="7">
        <v>924</v>
      </c>
      <c r="AC20" s="80">
        <v>924</v>
      </c>
      <c r="AD20" s="80">
        <v>924</v>
      </c>
      <c r="AE20" s="80">
        <v>924</v>
      </c>
      <c r="AF20" s="80">
        <v>924</v>
      </c>
      <c r="AG20" s="80">
        <v>924</v>
      </c>
      <c r="AH20" s="80">
        <v>924</v>
      </c>
      <c r="AI20" s="80">
        <v>924</v>
      </c>
      <c r="AJ20" s="80">
        <v>924</v>
      </c>
      <c r="AK20" s="80">
        <v>924</v>
      </c>
      <c r="AL20" s="80">
        <v>924</v>
      </c>
      <c r="AM20" s="80">
        <v>924</v>
      </c>
      <c r="AN20" s="80">
        <v>924</v>
      </c>
      <c r="AO20" s="92">
        <v>924</v>
      </c>
      <c r="AP20" s="92">
        <v>924</v>
      </c>
      <c r="AQ20" s="92">
        <v>924</v>
      </c>
      <c r="AR20" s="92">
        <v>924</v>
      </c>
      <c r="AS20" s="92">
        <v>924</v>
      </c>
      <c r="AT20" s="92">
        <v>924</v>
      </c>
      <c r="AU20" s="92">
        <v>924</v>
      </c>
      <c r="AV20" s="92">
        <v>924</v>
      </c>
      <c r="AW20" s="92">
        <v>924</v>
      </c>
      <c r="AX20" s="92">
        <v>924</v>
      </c>
      <c r="AY20" s="92">
        <v>924</v>
      </c>
      <c r="AZ20" s="92">
        <v>924</v>
      </c>
      <c r="BA20" s="92">
        <v>924</v>
      </c>
      <c r="BB20" s="92">
        <v>924</v>
      </c>
      <c r="BC20" s="92">
        <f>13836-12936</f>
        <v>900</v>
      </c>
      <c r="BD20" s="92">
        <v>924</v>
      </c>
      <c r="BE20" s="92">
        <v>924</v>
      </c>
      <c r="BF20" s="92">
        <v>924</v>
      </c>
      <c r="BG20" s="92">
        <v>924</v>
      </c>
      <c r="BH20" s="92">
        <v>924</v>
      </c>
      <c r="BI20" s="92">
        <v>924</v>
      </c>
      <c r="BJ20" s="92">
        <v>924</v>
      </c>
      <c r="BK20" s="92">
        <v>924</v>
      </c>
      <c r="BL20" s="92">
        <v>924</v>
      </c>
      <c r="BM20" s="92">
        <v>924</v>
      </c>
      <c r="BN20" s="92">
        <v>924</v>
      </c>
      <c r="BO20" s="92">
        <v>924</v>
      </c>
      <c r="BP20" s="92">
        <v>924</v>
      </c>
      <c r="BQ20" s="92">
        <v>924</v>
      </c>
      <c r="BR20" s="92">
        <v>840</v>
      </c>
      <c r="BS20" s="92">
        <v>840</v>
      </c>
      <c r="BT20" s="92">
        <v>840</v>
      </c>
      <c r="BU20" s="92">
        <v>840</v>
      </c>
      <c r="BV20" s="92">
        <v>840</v>
      </c>
      <c r="BW20" s="92">
        <v>840</v>
      </c>
      <c r="BX20" s="92">
        <v>840</v>
      </c>
      <c r="BY20" s="92">
        <v>840</v>
      </c>
      <c r="BZ20" s="92">
        <v>840</v>
      </c>
      <c r="CA20" s="92">
        <v>840</v>
      </c>
      <c r="CB20" s="92">
        <v>840</v>
      </c>
      <c r="CC20" s="92">
        <v>840</v>
      </c>
      <c r="CD20" s="92">
        <v>840</v>
      </c>
      <c r="CE20" s="92">
        <v>840</v>
      </c>
      <c r="CF20" s="92">
        <v>840</v>
      </c>
      <c r="CG20" s="92">
        <v>840</v>
      </c>
      <c r="CH20" s="92">
        <v>840</v>
      </c>
      <c r="CI20" s="92">
        <v>840</v>
      </c>
      <c r="CJ20" s="92">
        <v>840</v>
      </c>
      <c r="CK20" s="92">
        <v>6500</v>
      </c>
      <c r="CL20" s="92">
        <v>1500</v>
      </c>
      <c r="CM20" s="92">
        <v>1500</v>
      </c>
      <c r="CN20" s="92">
        <v>1500</v>
      </c>
      <c r="CO20" s="92">
        <v>1500</v>
      </c>
      <c r="CP20" s="92">
        <f>1500-660</f>
        <v>840</v>
      </c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8">
        <f>660+1500*3</f>
        <v>5160</v>
      </c>
      <c r="DE20" s="38"/>
      <c r="DF20" s="111">
        <v>5000</v>
      </c>
      <c r="DH20" s="8">
        <f>+SUM(AO20:DC20)</f>
        <v>56072</v>
      </c>
      <c r="DP20" s="9">
        <f t="shared" si="0"/>
        <v>840</v>
      </c>
      <c r="DT20" s="9">
        <v>1500</v>
      </c>
      <c r="FN20" s="7">
        <v>924</v>
      </c>
    </row>
    <row r="21" spans="1:170" s="9" customFormat="1" ht="13.5" x14ac:dyDescent="0.25">
      <c r="A21" s="16">
        <v>14</v>
      </c>
      <c r="B21" s="7" t="s">
        <v>75</v>
      </c>
      <c r="C21" s="8" t="s">
        <v>77</v>
      </c>
      <c r="D21" s="7">
        <v>14</v>
      </c>
      <c r="E21" s="7">
        <v>924</v>
      </c>
      <c r="F21" s="7">
        <v>924</v>
      </c>
      <c r="G21" s="7">
        <v>924</v>
      </c>
      <c r="H21" s="7">
        <v>924</v>
      </c>
      <c r="I21" s="7">
        <v>924</v>
      </c>
      <c r="J21" s="7">
        <v>924</v>
      </c>
      <c r="K21" s="7">
        <v>924</v>
      </c>
      <c r="L21" s="7">
        <v>924</v>
      </c>
      <c r="M21" s="7">
        <v>924</v>
      </c>
      <c r="N21" s="7">
        <v>924</v>
      </c>
      <c r="O21" s="7">
        <v>924</v>
      </c>
      <c r="P21" s="7">
        <v>924</v>
      </c>
      <c r="Q21" s="7">
        <v>924</v>
      </c>
      <c r="R21" s="7">
        <v>924</v>
      </c>
      <c r="S21" s="7">
        <v>924</v>
      </c>
      <c r="T21" s="7">
        <v>924</v>
      </c>
      <c r="U21" s="7">
        <v>924</v>
      </c>
      <c r="V21" s="7">
        <v>924</v>
      </c>
      <c r="W21" s="80">
        <v>925</v>
      </c>
      <c r="X21" s="7">
        <v>925</v>
      </c>
      <c r="Y21" s="7">
        <v>925</v>
      </c>
      <c r="Z21" s="7">
        <v>925</v>
      </c>
      <c r="AA21" s="7">
        <v>925</v>
      </c>
      <c r="AB21" s="7">
        <v>925</v>
      </c>
      <c r="AC21" s="7">
        <v>925</v>
      </c>
      <c r="AD21" s="7">
        <v>925</v>
      </c>
      <c r="AE21" s="7">
        <v>925</v>
      </c>
      <c r="AF21" s="7">
        <v>925</v>
      </c>
      <c r="AG21" s="7">
        <v>925</v>
      </c>
      <c r="AH21" s="7">
        <v>925</v>
      </c>
      <c r="AI21" s="7">
        <v>925</v>
      </c>
      <c r="AJ21" s="7">
        <v>925</v>
      </c>
      <c r="AK21" s="7">
        <v>925</v>
      </c>
      <c r="AL21" s="7">
        <v>925</v>
      </c>
      <c r="AM21" s="7">
        <v>925</v>
      </c>
      <c r="AN21" s="7">
        <v>925</v>
      </c>
      <c r="AO21" s="7">
        <v>925</v>
      </c>
      <c r="AP21" s="7">
        <v>925</v>
      </c>
      <c r="AQ21" s="7">
        <v>925</v>
      </c>
      <c r="AR21" s="7">
        <v>925</v>
      </c>
      <c r="AS21" s="7">
        <v>925</v>
      </c>
      <c r="AT21" s="7">
        <v>925</v>
      </c>
      <c r="AU21" s="7">
        <v>925</v>
      </c>
      <c r="AV21" s="7">
        <v>925</v>
      </c>
      <c r="AW21" s="7">
        <v>925</v>
      </c>
      <c r="AX21" s="7">
        <v>925</v>
      </c>
      <c r="AY21" s="7">
        <v>925</v>
      </c>
      <c r="AZ21" s="92">
        <v>925</v>
      </c>
      <c r="BA21" s="92">
        <v>925</v>
      </c>
      <c r="BB21" s="92">
        <v>925</v>
      </c>
      <c r="BC21" s="92">
        <v>925</v>
      </c>
      <c r="BD21" s="92">
        <v>925</v>
      </c>
      <c r="BE21" s="92">
        <v>925</v>
      </c>
      <c r="BF21" s="92">
        <v>925</v>
      </c>
      <c r="BG21" s="92">
        <v>925</v>
      </c>
      <c r="BH21" s="92">
        <v>925</v>
      </c>
      <c r="BI21" s="92">
        <v>925</v>
      </c>
      <c r="BJ21" s="92">
        <v>925</v>
      </c>
      <c r="BK21" s="92">
        <v>925</v>
      </c>
      <c r="BL21" s="92">
        <v>925</v>
      </c>
      <c r="BM21" s="92">
        <v>925</v>
      </c>
      <c r="BN21" s="92">
        <v>925</v>
      </c>
      <c r="BO21" s="92">
        <v>925</v>
      </c>
      <c r="BP21" s="92">
        <v>925</v>
      </c>
      <c r="BQ21" s="92">
        <v>925</v>
      </c>
      <c r="BR21" s="92">
        <v>925</v>
      </c>
      <c r="BS21" s="92">
        <v>925</v>
      </c>
      <c r="BT21" s="92">
        <v>925</v>
      </c>
      <c r="BU21" s="92">
        <v>925</v>
      </c>
      <c r="BV21" s="92">
        <v>925</v>
      </c>
      <c r="BW21" s="92">
        <v>925</v>
      </c>
      <c r="BX21" s="92">
        <v>925</v>
      </c>
      <c r="BY21" s="92">
        <v>925</v>
      </c>
      <c r="BZ21" s="92">
        <v>925</v>
      </c>
      <c r="CA21" s="92">
        <v>925</v>
      </c>
      <c r="CB21" s="92">
        <v>925</v>
      </c>
      <c r="CC21" s="92">
        <v>925</v>
      </c>
      <c r="CD21" s="92">
        <v>925</v>
      </c>
      <c r="CE21" s="92">
        <v>925</v>
      </c>
      <c r="CF21" s="92">
        <v>925</v>
      </c>
      <c r="CG21" s="92">
        <v>925</v>
      </c>
      <c r="CH21" s="92">
        <v>925</v>
      </c>
      <c r="CI21" s="92">
        <v>925</v>
      </c>
      <c r="CJ21" s="92">
        <v>925</v>
      </c>
      <c r="CK21" s="92">
        <f>1650+5000</f>
        <v>6650</v>
      </c>
      <c r="CL21" s="92">
        <v>1650</v>
      </c>
      <c r="CM21" s="92">
        <v>1650</v>
      </c>
      <c r="CN21" s="92">
        <v>1650</v>
      </c>
      <c r="CO21" s="92">
        <v>1650</v>
      </c>
      <c r="CP21" s="92">
        <v>175</v>
      </c>
      <c r="CQ21" s="92">
        <v>3125</v>
      </c>
      <c r="CR21" s="92">
        <v>1650</v>
      </c>
      <c r="CS21" s="92">
        <v>1650</v>
      </c>
      <c r="CT21" s="92">
        <v>1650</v>
      </c>
      <c r="CU21" s="92">
        <v>1650</v>
      </c>
      <c r="CV21" s="92">
        <v>1650</v>
      </c>
      <c r="CW21" s="92">
        <v>1650</v>
      </c>
      <c r="CX21" s="92">
        <v>1650</v>
      </c>
      <c r="CY21" s="92">
        <v>1650</v>
      </c>
      <c r="CZ21" s="92">
        <v>1650</v>
      </c>
      <c r="DA21" s="92">
        <v>1650</v>
      </c>
      <c r="DB21" s="92">
        <v>1650</v>
      </c>
      <c r="DC21" s="7"/>
      <c r="DD21" s="8">
        <v>0</v>
      </c>
      <c r="DE21" s="18" t="s">
        <v>60</v>
      </c>
      <c r="DF21" s="111">
        <v>5000</v>
      </c>
      <c r="DH21" s="8">
        <f>+SUM(AZ21:DC21)</f>
        <v>68925</v>
      </c>
      <c r="DP21" s="9">
        <f t="shared" si="0"/>
        <v>925</v>
      </c>
      <c r="DT21" s="9">
        <v>1650</v>
      </c>
      <c r="FN21" s="7">
        <v>925</v>
      </c>
    </row>
    <row r="22" spans="1:170" s="9" customFormat="1" ht="13.5" x14ac:dyDescent="0.25">
      <c r="A22" s="16">
        <v>15</v>
      </c>
      <c r="B22" s="7" t="s">
        <v>75</v>
      </c>
      <c r="C22" s="8" t="s">
        <v>95</v>
      </c>
      <c r="D22" s="7">
        <v>15</v>
      </c>
      <c r="E22" s="7">
        <v>840</v>
      </c>
      <c r="F22" s="7">
        <v>840</v>
      </c>
      <c r="G22" s="7">
        <v>840</v>
      </c>
      <c r="H22" s="7">
        <v>840</v>
      </c>
      <c r="I22" s="7">
        <v>840</v>
      </c>
      <c r="J22" s="7">
        <v>840</v>
      </c>
      <c r="K22" s="7">
        <v>840</v>
      </c>
      <c r="L22" s="7">
        <v>840</v>
      </c>
      <c r="M22" s="7">
        <v>840</v>
      </c>
      <c r="N22" s="7">
        <v>840</v>
      </c>
      <c r="O22" s="7">
        <v>840</v>
      </c>
      <c r="P22" s="7">
        <v>840</v>
      </c>
      <c r="Q22" s="7">
        <v>840</v>
      </c>
      <c r="R22" s="7">
        <v>840</v>
      </c>
      <c r="S22" s="7">
        <v>840</v>
      </c>
      <c r="T22" s="7">
        <v>840</v>
      </c>
      <c r="U22" s="7">
        <v>840</v>
      </c>
      <c r="V22" s="7">
        <v>840</v>
      </c>
      <c r="W22" s="7">
        <v>840</v>
      </c>
      <c r="X22" s="7">
        <v>840</v>
      </c>
      <c r="Y22" s="7">
        <v>840</v>
      </c>
      <c r="Z22" s="7">
        <v>840</v>
      </c>
      <c r="AA22" s="7">
        <v>840</v>
      </c>
      <c r="AB22" s="7">
        <v>840</v>
      </c>
      <c r="AC22" s="7">
        <v>840</v>
      </c>
      <c r="AD22" s="7">
        <v>840</v>
      </c>
      <c r="AE22" s="7">
        <v>840</v>
      </c>
      <c r="AF22" s="7">
        <v>840</v>
      </c>
      <c r="AG22" s="7">
        <v>840</v>
      </c>
      <c r="AH22" s="7">
        <v>840</v>
      </c>
      <c r="AI22" s="7">
        <v>840</v>
      </c>
      <c r="AJ22" s="7">
        <v>840</v>
      </c>
      <c r="AK22" s="7">
        <v>840</v>
      </c>
      <c r="AL22" s="7">
        <v>840</v>
      </c>
      <c r="AM22" s="7">
        <v>840</v>
      </c>
      <c r="AN22" s="7">
        <v>840</v>
      </c>
      <c r="AO22" s="7">
        <v>840</v>
      </c>
      <c r="AP22" s="7">
        <v>840</v>
      </c>
      <c r="AQ22" s="7">
        <v>840</v>
      </c>
      <c r="AR22" s="7">
        <v>840</v>
      </c>
      <c r="AS22" s="7">
        <v>840</v>
      </c>
      <c r="AT22" s="7">
        <v>840</v>
      </c>
      <c r="AU22" s="7">
        <v>840</v>
      </c>
      <c r="AV22" s="7">
        <v>840</v>
      </c>
      <c r="AW22" s="7">
        <v>840</v>
      </c>
      <c r="AX22" s="92">
        <v>840</v>
      </c>
      <c r="AY22" s="92">
        <v>840</v>
      </c>
      <c r="AZ22" s="92">
        <v>840</v>
      </c>
      <c r="BA22" s="92">
        <v>840</v>
      </c>
      <c r="BB22" s="92">
        <v>840</v>
      </c>
      <c r="BC22" s="92">
        <v>840</v>
      </c>
      <c r="BD22" s="92">
        <v>840</v>
      </c>
      <c r="BE22" s="92">
        <v>840</v>
      </c>
      <c r="BF22" s="92">
        <v>840</v>
      </c>
      <c r="BG22" s="92">
        <v>840</v>
      </c>
      <c r="BH22" s="92">
        <v>840</v>
      </c>
      <c r="BI22" s="92">
        <v>840</v>
      </c>
      <c r="BJ22" s="92">
        <v>840</v>
      </c>
      <c r="BK22" s="92">
        <v>840</v>
      </c>
      <c r="BL22" s="92">
        <v>840</v>
      </c>
      <c r="BM22" s="92">
        <v>840</v>
      </c>
      <c r="BN22" s="92">
        <v>840</v>
      </c>
      <c r="BO22" s="92">
        <v>840</v>
      </c>
      <c r="BP22" s="92">
        <v>840</v>
      </c>
      <c r="BQ22" s="92">
        <v>840</v>
      </c>
      <c r="BR22" s="92">
        <v>840</v>
      </c>
      <c r="BS22" s="92">
        <v>840</v>
      </c>
      <c r="BT22" s="92">
        <v>840</v>
      </c>
      <c r="BU22" s="92">
        <v>840</v>
      </c>
      <c r="BV22" s="92">
        <v>840</v>
      </c>
      <c r="BW22" s="92">
        <v>840</v>
      </c>
      <c r="BX22" s="92">
        <v>840</v>
      </c>
      <c r="BY22" s="92">
        <v>840</v>
      </c>
      <c r="BZ22" s="92">
        <v>840</v>
      </c>
      <c r="CA22" s="92">
        <v>840</v>
      </c>
      <c r="CB22" s="92">
        <v>840</v>
      </c>
      <c r="CC22" s="92">
        <v>840</v>
      </c>
      <c r="CD22" s="92">
        <v>840</v>
      </c>
      <c r="CE22" s="92">
        <v>840</v>
      </c>
      <c r="CF22" s="92">
        <v>840</v>
      </c>
      <c r="CG22" s="92">
        <v>840</v>
      </c>
      <c r="CH22" s="92">
        <v>840</v>
      </c>
      <c r="CI22" s="92">
        <v>840</v>
      </c>
      <c r="CJ22" s="92">
        <v>840</v>
      </c>
      <c r="CK22" s="92">
        <v>6500</v>
      </c>
      <c r="CL22" s="92">
        <v>1500</v>
      </c>
      <c r="CM22" s="92">
        <v>1500</v>
      </c>
      <c r="CN22" s="92">
        <v>1500</v>
      </c>
      <c r="CO22" s="92">
        <v>1500</v>
      </c>
      <c r="CP22" s="92">
        <v>1500</v>
      </c>
      <c r="CQ22" s="92">
        <v>1500</v>
      </c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8">
        <f>1500*2</f>
        <v>3000</v>
      </c>
      <c r="DE22" s="38"/>
      <c r="DF22" s="111">
        <v>5000</v>
      </c>
      <c r="DH22" s="8">
        <f>+SUM(AX22:DC22)</f>
        <v>48260</v>
      </c>
      <c r="DP22" s="9">
        <v>840</v>
      </c>
      <c r="DT22" s="9">
        <v>1500</v>
      </c>
      <c r="FN22" s="7">
        <v>840</v>
      </c>
    </row>
    <row r="23" spans="1:170" s="9" customFormat="1" ht="13.5" x14ac:dyDescent="0.25">
      <c r="A23" s="16">
        <v>16</v>
      </c>
      <c r="B23" s="7" t="s">
        <v>75</v>
      </c>
      <c r="C23" s="8" t="s">
        <v>78</v>
      </c>
      <c r="D23" s="7">
        <v>16</v>
      </c>
      <c r="E23" s="7">
        <v>924</v>
      </c>
      <c r="F23" s="7">
        <v>840</v>
      </c>
      <c r="G23" s="7">
        <v>840</v>
      </c>
      <c r="H23" s="7">
        <v>840</v>
      </c>
      <c r="I23" s="7">
        <v>840</v>
      </c>
      <c r="J23" s="7">
        <v>840</v>
      </c>
      <c r="K23" s="7">
        <v>840</v>
      </c>
      <c r="L23" s="7">
        <v>840</v>
      </c>
      <c r="M23" s="7">
        <v>840</v>
      </c>
      <c r="N23" s="7">
        <v>840</v>
      </c>
      <c r="O23" s="7">
        <v>840</v>
      </c>
      <c r="P23" s="7">
        <v>840</v>
      </c>
      <c r="Q23" s="7">
        <v>840</v>
      </c>
      <c r="R23" s="7">
        <v>840</v>
      </c>
      <c r="S23" s="7">
        <v>840</v>
      </c>
      <c r="T23" s="7">
        <v>840</v>
      </c>
      <c r="U23" s="7">
        <v>840</v>
      </c>
      <c r="V23" s="7">
        <v>840</v>
      </c>
      <c r="W23" s="7">
        <v>840</v>
      </c>
      <c r="X23" s="7">
        <v>840</v>
      </c>
      <c r="Y23" s="7">
        <v>840</v>
      </c>
      <c r="Z23" s="7">
        <v>840</v>
      </c>
      <c r="AA23" s="7">
        <v>840</v>
      </c>
      <c r="AB23" s="7">
        <v>840</v>
      </c>
      <c r="AC23" s="7">
        <v>840</v>
      </c>
      <c r="AD23" s="7">
        <v>840</v>
      </c>
      <c r="AE23" s="7">
        <v>840</v>
      </c>
      <c r="AF23" s="7">
        <v>840</v>
      </c>
      <c r="AG23" s="7">
        <v>840</v>
      </c>
      <c r="AH23" s="7">
        <v>840</v>
      </c>
      <c r="AI23" s="7">
        <v>840</v>
      </c>
      <c r="AJ23" s="7">
        <v>840</v>
      </c>
      <c r="AK23" s="7">
        <v>840</v>
      </c>
      <c r="AL23" s="7">
        <v>840</v>
      </c>
      <c r="AM23" s="7">
        <v>840</v>
      </c>
      <c r="AN23" s="7">
        <v>840</v>
      </c>
      <c r="AO23" s="7">
        <v>840</v>
      </c>
      <c r="AP23" s="7">
        <v>840</v>
      </c>
      <c r="AQ23" s="7">
        <v>840</v>
      </c>
      <c r="AR23" s="92">
        <v>840</v>
      </c>
      <c r="AS23" s="92">
        <v>840</v>
      </c>
      <c r="AT23" s="92">
        <v>840</v>
      </c>
      <c r="AU23" s="92">
        <v>840</v>
      </c>
      <c r="AV23" s="92">
        <v>840</v>
      </c>
      <c r="AW23" s="92">
        <v>840</v>
      </c>
      <c r="AX23" s="92">
        <v>840</v>
      </c>
      <c r="AY23" s="92">
        <v>840</v>
      </c>
      <c r="AZ23" s="92">
        <v>840</v>
      </c>
      <c r="BA23" s="92">
        <v>840</v>
      </c>
      <c r="BB23" s="92">
        <v>840</v>
      </c>
      <c r="BC23" s="92">
        <v>840</v>
      </c>
      <c r="BD23" s="92">
        <v>840</v>
      </c>
      <c r="BE23" s="92">
        <v>840</v>
      </c>
      <c r="BF23" s="92">
        <v>840</v>
      </c>
      <c r="BG23" s="92">
        <v>840</v>
      </c>
      <c r="BH23" s="92">
        <v>840</v>
      </c>
      <c r="BI23" s="92">
        <v>840</v>
      </c>
      <c r="BJ23" s="92">
        <v>840</v>
      </c>
      <c r="BK23" s="92">
        <v>840</v>
      </c>
      <c r="BL23" s="92">
        <v>840</v>
      </c>
      <c r="BM23" s="92">
        <v>840</v>
      </c>
      <c r="BN23" s="92">
        <v>840</v>
      </c>
      <c r="BO23" s="92">
        <v>840</v>
      </c>
      <c r="BP23" s="92">
        <v>840</v>
      </c>
      <c r="BQ23" s="92">
        <v>840</v>
      </c>
      <c r="BR23" s="92">
        <v>840</v>
      </c>
      <c r="BS23" s="92">
        <v>840</v>
      </c>
      <c r="BT23" s="92">
        <v>840</v>
      </c>
      <c r="BU23" s="92">
        <v>840</v>
      </c>
      <c r="BV23" s="92">
        <v>840</v>
      </c>
      <c r="BW23" s="92">
        <v>840</v>
      </c>
      <c r="BX23" s="92">
        <v>840</v>
      </c>
      <c r="BY23" s="92">
        <v>840</v>
      </c>
      <c r="BZ23" s="92">
        <v>840</v>
      </c>
      <c r="CA23" s="92">
        <v>840</v>
      </c>
      <c r="CB23" s="92">
        <v>840</v>
      </c>
      <c r="CC23" s="92">
        <v>840</v>
      </c>
      <c r="CD23" s="92">
        <v>840</v>
      </c>
      <c r="CE23" s="92">
        <v>840</v>
      </c>
      <c r="CF23" s="92">
        <v>840</v>
      </c>
      <c r="CG23" s="92">
        <v>840</v>
      </c>
      <c r="CH23" s="92">
        <v>840</v>
      </c>
      <c r="CI23" s="92">
        <v>840</v>
      </c>
      <c r="CJ23" s="92">
        <v>840</v>
      </c>
      <c r="CK23" s="92">
        <v>840</v>
      </c>
      <c r="CL23" s="92">
        <v>840</v>
      </c>
      <c r="CM23" s="92">
        <v>840</v>
      </c>
      <c r="CN23" s="92">
        <v>840</v>
      </c>
      <c r="CO23" s="92">
        <v>840</v>
      </c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8">
        <f>330+1500*4</f>
        <v>6330</v>
      </c>
      <c r="DE23" s="38"/>
      <c r="DF23" s="113"/>
      <c r="DH23" s="8">
        <f>+SUM(AR23:DC23)</f>
        <v>42000</v>
      </c>
      <c r="DP23" s="9">
        <f t="shared" si="0"/>
        <v>840</v>
      </c>
      <c r="DT23" s="9">
        <v>1500</v>
      </c>
      <c r="FN23" s="7">
        <v>840</v>
      </c>
    </row>
    <row r="24" spans="1:170" s="9" customFormat="1" ht="13.5" x14ac:dyDescent="0.25">
      <c r="A24" s="16">
        <v>17</v>
      </c>
      <c r="B24" s="7" t="s">
        <v>75</v>
      </c>
      <c r="C24" s="8" t="s">
        <v>79</v>
      </c>
      <c r="D24" s="7">
        <v>17</v>
      </c>
      <c r="E24" s="7">
        <v>840</v>
      </c>
      <c r="F24" s="7">
        <v>840</v>
      </c>
      <c r="G24" s="7">
        <v>840</v>
      </c>
      <c r="H24" s="7">
        <v>840</v>
      </c>
      <c r="I24" s="7">
        <v>840</v>
      </c>
      <c r="J24" s="7">
        <v>840</v>
      </c>
      <c r="K24" s="7">
        <v>840</v>
      </c>
      <c r="L24" s="7">
        <v>840</v>
      </c>
      <c r="M24" s="7">
        <v>840</v>
      </c>
      <c r="N24" s="7">
        <v>840</v>
      </c>
      <c r="O24" s="7">
        <v>840</v>
      </c>
      <c r="P24" s="7">
        <v>840</v>
      </c>
      <c r="Q24" s="7">
        <v>840</v>
      </c>
      <c r="R24" s="7">
        <v>840</v>
      </c>
      <c r="S24" s="7">
        <v>840</v>
      </c>
      <c r="T24" s="7">
        <v>840</v>
      </c>
      <c r="U24" s="7">
        <v>840</v>
      </c>
      <c r="V24" s="7">
        <v>840</v>
      </c>
      <c r="W24" s="7">
        <v>840</v>
      </c>
      <c r="X24" s="7">
        <v>840</v>
      </c>
      <c r="Y24" s="7">
        <v>840</v>
      </c>
      <c r="Z24" s="7">
        <v>840</v>
      </c>
      <c r="AA24" s="7">
        <v>840</v>
      </c>
      <c r="AB24" s="7">
        <v>840</v>
      </c>
      <c r="AC24" s="7">
        <v>840</v>
      </c>
      <c r="AD24" s="7">
        <v>840</v>
      </c>
      <c r="AE24" s="7">
        <v>840</v>
      </c>
      <c r="AF24" s="7">
        <v>840</v>
      </c>
      <c r="AG24" s="7">
        <v>840</v>
      </c>
      <c r="AH24" s="7">
        <v>840</v>
      </c>
      <c r="AI24" s="7">
        <v>840</v>
      </c>
      <c r="AJ24" s="7">
        <v>840</v>
      </c>
      <c r="AK24" s="7">
        <v>840</v>
      </c>
      <c r="AL24" s="7">
        <v>840</v>
      </c>
      <c r="AM24" s="7">
        <v>840</v>
      </c>
      <c r="AN24" s="7">
        <v>840</v>
      </c>
      <c r="AO24" s="7">
        <v>840</v>
      </c>
      <c r="AP24" s="7">
        <v>840</v>
      </c>
      <c r="AQ24" s="7">
        <v>840</v>
      </c>
      <c r="AR24" s="92">
        <v>925</v>
      </c>
      <c r="AS24" s="92">
        <v>925</v>
      </c>
      <c r="AT24" s="92">
        <v>925</v>
      </c>
      <c r="AU24" s="92">
        <v>925</v>
      </c>
      <c r="AV24" s="92">
        <v>925</v>
      </c>
      <c r="AW24" s="92">
        <v>925</v>
      </c>
      <c r="AX24" s="92">
        <v>925</v>
      </c>
      <c r="AY24" s="92">
        <v>925</v>
      </c>
      <c r="AZ24" s="92">
        <v>925</v>
      </c>
      <c r="BA24" s="92">
        <v>925</v>
      </c>
      <c r="BB24" s="92">
        <v>925</v>
      </c>
      <c r="BC24" s="92">
        <v>925</v>
      </c>
      <c r="BD24" s="92">
        <v>925</v>
      </c>
      <c r="BE24" s="92">
        <v>925</v>
      </c>
      <c r="BF24" s="92">
        <v>1525</v>
      </c>
      <c r="BG24" s="92">
        <v>925</v>
      </c>
      <c r="BH24" s="92">
        <v>925</v>
      </c>
      <c r="BI24" s="92">
        <v>925</v>
      </c>
      <c r="BJ24" s="92">
        <v>925</v>
      </c>
      <c r="BK24" s="92">
        <v>925</v>
      </c>
      <c r="BL24" s="92">
        <v>925</v>
      </c>
      <c r="BM24" s="92">
        <v>925</v>
      </c>
      <c r="BN24" s="92">
        <v>925</v>
      </c>
      <c r="BO24" s="92">
        <v>925</v>
      </c>
      <c r="BP24" s="92">
        <v>925</v>
      </c>
      <c r="BQ24" s="92">
        <v>925</v>
      </c>
      <c r="BR24" s="92">
        <v>925</v>
      </c>
      <c r="BS24" s="92">
        <v>925</v>
      </c>
      <c r="BT24" s="92">
        <v>925</v>
      </c>
      <c r="BU24" s="92">
        <v>925</v>
      </c>
      <c r="BV24" s="92">
        <v>925</v>
      </c>
      <c r="BW24" s="92">
        <v>925</v>
      </c>
      <c r="BX24" s="92">
        <v>925</v>
      </c>
      <c r="BY24" s="92">
        <v>925</v>
      </c>
      <c r="BZ24" s="92">
        <v>925</v>
      </c>
      <c r="CA24" s="92">
        <v>925</v>
      </c>
      <c r="CB24" s="92">
        <v>925</v>
      </c>
      <c r="CC24" s="92">
        <v>925</v>
      </c>
      <c r="CD24" s="92">
        <v>925</v>
      </c>
      <c r="CE24" s="92">
        <v>925</v>
      </c>
      <c r="CF24" s="92">
        <v>925</v>
      </c>
      <c r="CG24" s="92">
        <v>925</v>
      </c>
      <c r="CH24" s="92">
        <v>925</v>
      </c>
      <c r="CI24" s="92">
        <v>925</v>
      </c>
      <c r="CJ24" s="92">
        <v>980</v>
      </c>
      <c r="CK24" s="92">
        <v>980</v>
      </c>
      <c r="CL24" s="92">
        <f>1650+670-55</f>
        <v>2265</v>
      </c>
      <c r="CM24" s="92">
        <v>1650</v>
      </c>
      <c r="CN24" s="92">
        <v>6650</v>
      </c>
      <c r="CO24" s="92">
        <v>1015</v>
      </c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8">
        <f>635+6600</f>
        <v>7235</v>
      </c>
      <c r="DE24" s="38"/>
      <c r="DF24" s="111">
        <v>5000</v>
      </c>
      <c r="DH24" s="8">
        <f>+SUM(AR24:DC24)</f>
        <v>54840</v>
      </c>
      <c r="DP24" s="9">
        <f t="shared" si="0"/>
        <v>980</v>
      </c>
      <c r="DT24" s="9">
        <v>1650</v>
      </c>
      <c r="FN24" s="7">
        <v>925</v>
      </c>
    </row>
    <row r="25" spans="1:170" s="9" customFormat="1" ht="13.5" x14ac:dyDescent="0.25">
      <c r="A25" s="16">
        <v>18</v>
      </c>
      <c r="B25" s="7" t="s">
        <v>75</v>
      </c>
      <c r="C25" s="8" t="s">
        <v>80</v>
      </c>
      <c r="D25" s="7">
        <v>18</v>
      </c>
      <c r="E25" s="7">
        <v>840</v>
      </c>
      <c r="F25" s="7">
        <v>840</v>
      </c>
      <c r="G25" s="7">
        <v>840</v>
      </c>
      <c r="H25" s="7">
        <v>840</v>
      </c>
      <c r="I25" s="7">
        <v>840</v>
      </c>
      <c r="J25" s="7">
        <v>840</v>
      </c>
      <c r="K25" s="7">
        <v>840</v>
      </c>
      <c r="L25" s="7">
        <v>840</v>
      </c>
      <c r="M25" s="7">
        <v>840</v>
      </c>
      <c r="N25" s="7">
        <v>840</v>
      </c>
      <c r="O25" s="7">
        <v>840</v>
      </c>
      <c r="P25" s="7">
        <v>840</v>
      </c>
      <c r="Q25" s="7">
        <v>840</v>
      </c>
      <c r="R25" s="7">
        <v>840</v>
      </c>
      <c r="S25" s="7">
        <v>840</v>
      </c>
      <c r="T25" s="7">
        <v>840</v>
      </c>
      <c r="U25" s="7">
        <v>840</v>
      </c>
      <c r="V25" s="7">
        <v>840</v>
      </c>
      <c r="W25" s="7">
        <v>840</v>
      </c>
      <c r="X25" s="7">
        <v>840</v>
      </c>
      <c r="Y25" s="7">
        <v>840</v>
      </c>
      <c r="Z25" s="7">
        <v>840</v>
      </c>
      <c r="AA25" s="7">
        <v>840</v>
      </c>
      <c r="AB25" s="7">
        <v>840</v>
      </c>
      <c r="AC25" s="7">
        <v>840</v>
      </c>
      <c r="AD25" s="7">
        <v>840</v>
      </c>
      <c r="AE25" s="7">
        <v>840</v>
      </c>
      <c r="AF25" s="7">
        <v>840</v>
      </c>
      <c r="AG25" s="7">
        <v>840</v>
      </c>
      <c r="AH25" s="7">
        <v>840</v>
      </c>
      <c r="AI25" s="7">
        <v>840</v>
      </c>
      <c r="AJ25" s="7">
        <v>840</v>
      </c>
      <c r="AK25" s="7">
        <v>840</v>
      </c>
      <c r="AL25" s="7">
        <v>840</v>
      </c>
      <c r="AM25" s="7">
        <v>840</v>
      </c>
      <c r="AN25" s="7">
        <v>840</v>
      </c>
      <c r="AO25" s="7">
        <v>840</v>
      </c>
      <c r="AP25" s="7">
        <v>840</v>
      </c>
      <c r="AQ25" s="7">
        <v>840</v>
      </c>
      <c r="AR25" s="7">
        <v>840</v>
      </c>
      <c r="AS25" s="7">
        <v>840</v>
      </c>
      <c r="AT25" s="7">
        <v>840</v>
      </c>
      <c r="AU25" s="7">
        <v>840</v>
      </c>
      <c r="AV25" s="7">
        <v>840</v>
      </c>
      <c r="AW25" s="7">
        <v>840</v>
      </c>
      <c r="AX25" s="7">
        <v>840</v>
      </c>
      <c r="AY25" s="7">
        <v>840</v>
      </c>
      <c r="AZ25" s="7">
        <v>840</v>
      </c>
      <c r="BA25" s="7">
        <v>840</v>
      </c>
      <c r="BB25" s="7">
        <v>840</v>
      </c>
      <c r="BC25" s="7">
        <v>840</v>
      </c>
      <c r="BD25" s="92">
        <v>840</v>
      </c>
      <c r="BE25" s="92">
        <v>840</v>
      </c>
      <c r="BF25" s="92">
        <v>840</v>
      </c>
      <c r="BG25" s="92">
        <v>840</v>
      </c>
      <c r="BH25" s="92">
        <v>840</v>
      </c>
      <c r="BI25" s="92">
        <v>840</v>
      </c>
      <c r="BJ25" s="92">
        <v>840</v>
      </c>
      <c r="BK25" s="92">
        <v>840</v>
      </c>
      <c r="BL25" s="92">
        <v>840</v>
      </c>
      <c r="BM25" s="92">
        <v>840</v>
      </c>
      <c r="BN25" s="92">
        <v>840</v>
      </c>
      <c r="BO25" s="92">
        <v>840</v>
      </c>
      <c r="BP25" s="92">
        <v>840</v>
      </c>
      <c r="BQ25" s="92">
        <v>840</v>
      </c>
      <c r="BR25" s="92">
        <v>840</v>
      </c>
      <c r="BS25" s="92">
        <v>840</v>
      </c>
      <c r="BT25" s="92">
        <v>840</v>
      </c>
      <c r="BU25" s="92">
        <v>840</v>
      </c>
      <c r="BV25" s="92">
        <v>840</v>
      </c>
      <c r="BW25" s="92">
        <v>840</v>
      </c>
      <c r="BX25" s="92">
        <v>840</v>
      </c>
      <c r="BY25" s="92">
        <v>840</v>
      </c>
      <c r="BZ25" s="92">
        <v>840</v>
      </c>
      <c r="CA25" s="92">
        <v>840</v>
      </c>
      <c r="CB25" s="92">
        <v>840</v>
      </c>
      <c r="CC25" s="92">
        <v>840</v>
      </c>
      <c r="CD25" s="92">
        <v>840</v>
      </c>
      <c r="CE25" s="92">
        <v>840</v>
      </c>
      <c r="CF25" s="92">
        <v>840</v>
      </c>
      <c r="CG25" s="92">
        <v>840</v>
      </c>
      <c r="CH25" s="92">
        <v>840</v>
      </c>
      <c r="CI25" s="92">
        <v>840</v>
      </c>
      <c r="CJ25" s="92">
        <v>840</v>
      </c>
      <c r="CK25" s="92">
        <v>840</v>
      </c>
      <c r="CL25" s="92">
        <v>840</v>
      </c>
      <c r="CM25" s="92">
        <v>840</v>
      </c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8">
        <f>1980+1500*6</f>
        <v>10980</v>
      </c>
      <c r="DE25" s="38"/>
      <c r="DF25" s="111">
        <v>5000</v>
      </c>
      <c r="DH25" s="8">
        <f>+SUM(BD25:DC25)</f>
        <v>30240</v>
      </c>
      <c r="DP25" s="9">
        <f t="shared" si="0"/>
        <v>840</v>
      </c>
      <c r="DT25" s="9">
        <v>1500</v>
      </c>
      <c r="FN25" s="7">
        <v>840</v>
      </c>
    </row>
    <row r="26" spans="1:170" s="6" customFormat="1" ht="25.5" x14ac:dyDescent="0.25">
      <c r="A26" s="14" t="s">
        <v>0</v>
      </c>
      <c r="B26" s="3" t="s">
        <v>52</v>
      </c>
      <c r="C26" s="4" t="s">
        <v>1</v>
      </c>
      <c r="D26" s="3" t="s">
        <v>2</v>
      </c>
      <c r="E26" s="3" t="s">
        <v>36</v>
      </c>
      <c r="F26" s="5" t="s">
        <v>37</v>
      </c>
      <c r="G26" s="5" t="s">
        <v>38</v>
      </c>
      <c r="H26" s="5" t="s">
        <v>39</v>
      </c>
      <c r="I26" s="5" t="s">
        <v>40</v>
      </c>
      <c r="J26" s="5" t="s">
        <v>41</v>
      </c>
      <c r="K26" s="5" t="s">
        <v>44</v>
      </c>
      <c r="L26" s="5" t="s">
        <v>42</v>
      </c>
      <c r="M26" s="5" t="s">
        <v>45</v>
      </c>
      <c r="N26" s="5" t="s">
        <v>46</v>
      </c>
      <c r="O26" s="5" t="s">
        <v>50</v>
      </c>
      <c r="P26" s="5" t="s">
        <v>48</v>
      </c>
      <c r="Q26" s="5" t="s">
        <v>36</v>
      </c>
      <c r="R26" s="5" t="s">
        <v>37</v>
      </c>
      <c r="S26" s="5" t="s">
        <v>38</v>
      </c>
      <c r="T26" s="5" t="s">
        <v>39</v>
      </c>
      <c r="U26" s="5" t="s">
        <v>40</v>
      </c>
      <c r="V26" s="5" t="s">
        <v>41</v>
      </c>
      <c r="W26" s="5" t="s">
        <v>44</v>
      </c>
      <c r="X26" s="5" t="s">
        <v>42</v>
      </c>
      <c r="Y26" s="5" t="s">
        <v>45</v>
      </c>
      <c r="Z26" s="5" t="s">
        <v>53</v>
      </c>
      <c r="AA26" s="5" t="s">
        <v>50</v>
      </c>
      <c r="AB26" s="5" t="s">
        <v>48</v>
      </c>
      <c r="AC26" s="5" t="s">
        <v>36</v>
      </c>
      <c r="AD26" s="5" t="s">
        <v>37</v>
      </c>
      <c r="AE26" s="5" t="s">
        <v>38</v>
      </c>
      <c r="AF26" s="5" t="s">
        <v>39</v>
      </c>
      <c r="AG26" s="5" t="s">
        <v>40</v>
      </c>
      <c r="AH26" s="5" t="s">
        <v>41</v>
      </c>
      <c r="AI26" s="5" t="s">
        <v>56</v>
      </c>
      <c r="AJ26" s="5" t="s">
        <v>42</v>
      </c>
      <c r="AK26" s="5" t="s">
        <v>57</v>
      </c>
      <c r="AL26" s="5" t="s">
        <v>53</v>
      </c>
      <c r="AM26" s="5" t="s">
        <v>50</v>
      </c>
      <c r="AN26" s="5" t="s">
        <v>48</v>
      </c>
      <c r="AO26" s="5" t="s">
        <v>36</v>
      </c>
      <c r="AP26" s="5" t="s">
        <v>37</v>
      </c>
      <c r="AQ26" s="5" t="s">
        <v>38</v>
      </c>
      <c r="AR26" s="5" t="s">
        <v>39</v>
      </c>
      <c r="AS26" s="5" t="s">
        <v>40</v>
      </c>
      <c r="AT26" s="5" t="s">
        <v>41</v>
      </c>
      <c r="AU26" s="5" t="s">
        <v>101</v>
      </c>
      <c r="AV26" s="5" t="s">
        <v>102</v>
      </c>
      <c r="AW26" s="5" t="s">
        <v>103</v>
      </c>
      <c r="AX26" s="79" t="s">
        <v>104</v>
      </c>
      <c r="AY26" s="79" t="s">
        <v>105</v>
      </c>
      <c r="AZ26" s="79" t="s">
        <v>106</v>
      </c>
      <c r="BA26" s="79" t="s">
        <v>107</v>
      </c>
      <c r="BB26" s="79" t="s">
        <v>108</v>
      </c>
      <c r="BC26" s="79" t="s">
        <v>38</v>
      </c>
      <c r="BD26" s="5" t="s">
        <v>39</v>
      </c>
      <c r="BE26" s="5" t="s">
        <v>40</v>
      </c>
      <c r="BF26" s="5" t="s">
        <v>41</v>
      </c>
      <c r="BG26" s="5" t="s">
        <v>56</v>
      </c>
      <c r="BH26" s="5" t="s">
        <v>42</v>
      </c>
      <c r="BI26" s="5" t="s">
        <v>57</v>
      </c>
      <c r="BJ26" s="5" t="s">
        <v>53</v>
      </c>
      <c r="BK26" s="5" t="s">
        <v>50</v>
      </c>
      <c r="BL26" s="5" t="s">
        <v>136</v>
      </c>
      <c r="BM26" s="5" t="s">
        <v>36</v>
      </c>
      <c r="BN26" s="5" t="s">
        <v>37</v>
      </c>
      <c r="BO26" s="5" t="s">
        <v>38</v>
      </c>
      <c r="BP26" s="5" t="s">
        <v>39</v>
      </c>
      <c r="BQ26" s="5" t="s">
        <v>40</v>
      </c>
      <c r="BR26" s="5" t="s">
        <v>41</v>
      </c>
      <c r="BS26" s="5" t="s">
        <v>56</v>
      </c>
      <c r="BT26" s="5" t="s">
        <v>42</v>
      </c>
      <c r="BU26" s="5" t="s">
        <v>57</v>
      </c>
      <c r="BV26" s="5" t="s">
        <v>53</v>
      </c>
      <c r="BW26" s="5" t="s">
        <v>50</v>
      </c>
      <c r="BX26" s="5" t="s">
        <v>136</v>
      </c>
      <c r="BY26" s="5" t="s">
        <v>36</v>
      </c>
      <c r="BZ26" s="5" t="s">
        <v>37</v>
      </c>
      <c r="CA26" s="5" t="s">
        <v>38</v>
      </c>
      <c r="CB26" s="5" t="s">
        <v>39</v>
      </c>
      <c r="CC26" s="5" t="s">
        <v>40</v>
      </c>
      <c r="CD26" s="5" t="s">
        <v>41</v>
      </c>
      <c r="CE26" s="5" t="s">
        <v>56</v>
      </c>
      <c r="CF26" s="5" t="s">
        <v>42</v>
      </c>
      <c r="CG26" s="5" t="s">
        <v>57</v>
      </c>
      <c r="CH26" s="5" t="s">
        <v>53</v>
      </c>
      <c r="CI26" s="5" t="s">
        <v>50</v>
      </c>
      <c r="CJ26" s="5" t="s">
        <v>136</v>
      </c>
      <c r="CK26" s="5" t="s">
        <v>36</v>
      </c>
      <c r="CL26" s="5" t="s">
        <v>37</v>
      </c>
      <c r="CM26" s="5" t="s">
        <v>38</v>
      </c>
      <c r="CN26" s="5" t="s">
        <v>39</v>
      </c>
      <c r="CO26" s="5" t="s">
        <v>40</v>
      </c>
      <c r="CP26" s="5" t="s">
        <v>41</v>
      </c>
      <c r="CQ26" s="5" t="s">
        <v>56</v>
      </c>
      <c r="CR26" s="5" t="s">
        <v>42</v>
      </c>
      <c r="CS26" s="5" t="s">
        <v>57</v>
      </c>
      <c r="CT26" s="5" t="s">
        <v>53</v>
      </c>
      <c r="CU26" s="5" t="s">
        <v>50</v>
      </c>
      <c r="CV26" s="5" t="s">
        <v>136</v>
      </c>
      <c r="CW26" s="5" t="s">
        <v>36</v>
      </c>
      <c r="CX26" s="5" t="s">
        <v>37</v>
      </c>
      <c r="CY26" s="5" t="s">
        <v>38</v>
      </c>
      <c r="CZ26" s="5" t="s">
        <v>39</v>
      </c>
      <c r="DA26" s="5" t="s">
        <v>40</v>
      </c>
      <c r="DB26" s="5" t="s">
        <v>41</v>
      </c>
      <c r="DC26" s="5" t="s">
        <v>56</v>
      </c>
      <c r="DD26" s="107"/>
      <c r="DE26" s="15"/>
      <c r="DH26" s="81"/>
      <c r="DP26" s="9"/>
      <c r="FN26" s="95"/>
    </row>
    <row r="27" spans="1:170" s="9" customFormat="1" ht="13.5" x14ac:dyDescent="0.25">
      <c r="A27" s="16">
        <v>1</v>
      </c>
      <c r="B27" s="7" t="s">
        <v>81</v>
      </c>
      <c r="C27" s="8" t="s">
        <v>128</v>
      </c>
      <c r="D27" s="7">
        <v>1</v>
      </c>
      <c r="E27" s="7">
        <v>790</v>
      </c>
      <c r="F27" s="7">
        <v>790</v>
      </c>
      <c r="G27" s="7">
        <v>790</v>
      </c>
      <c r="H27" s="7">
        <v>790</v>
      </c>
      <c r="I27" s="7">
        <v>790</v>
      </c>
      <c r="J27" s="7">
        <v>790</v>
      </c>
      <c r="K27" s="7">
        <v>790</v>
      </c>
      <c r="L27" s="7">
        <v>790</v>
      </c>
      <c r="M27" s="7">
        <v>790</v>
      </c>
      <c r="N27" s="7">
        <v>790</v>
      </c>
      <c r="O27" s="7">
        <v>790</v>
      </c>
      <c r="P27" s="7">
        <v>790</v>
      </c>
      <c r="Q27" s="7">
        <v>790</v>
      </c>
      <c r="R27" s="7">
        <v>790</v>
      </c>
      <c r="S27" s="7">
        <v>790</v>
      </c>
      <c r="T27" s="7">
        <v>790</v>
      </c>
      <c r="U27" s="7">
        <v>790</v>
      </c>
      <c r="V27" s="7">
        <v>790</v>
      </c>
      <c r="W27" s="7">
        <v>790</v>
      </c>
      <c r="X27" s="7">
        <v>790</v>
      </c>
      <c r="Y27" s="7">
        <v>790</v>
      </c>
      <c r="Z27" s="7">
        <v>790</v>
      </c>
      <c r="AA27" s="7">
        <v>790</v>
      </c>
      <c r="AB27" s="7">
        <v>790</v>
      </c>
      <c r="AC27" s="7">
        <v>790</v>
      </c>
      <c r="AD27" s="7">
        <v>790</v>
      </c>
      <c r="AE27" s="7">
        <v>790</v>
      </c>
      <c r="AF27" s="7">
        <v>720</v>
      </c>
      <c r="AG27" s="7">
        <v>720</v>
      </c>
      <c r="AH27" s="7">
        <v>720</v>
      </c>
      <c r="AI27" s="7">
        <v>720</v>
      </c>
      <c r="AJ27" s="7">
        <v>720</v>
      </c>
      <c r="AK27" s="7">
        <v>720</v>
      </c>
      <c r="AL27" s="7">
        <v>720</v>
      </c>
      <c r="AM27" s="7">
        <v>720</v>
      </c>
      <c r="AN27" s="7">
        <v>720</v>
      </c>
      <c r="AO27" s="7">
        <v>720</v>
      </c>
      <c r="AP27" s="7">
        <v>720</v>
      </c>
      <c r="AQ27" s="7">
        <v>720</v>
      </c>
      <c r="AR27" s="7">
        <v>720</v>
      </c>
      <c r="AS27" s="7">
        <v>720</v>
      </c>
      <c r="AT27" s="7">
        <v>720</v>
      </c>
      <c r="AU27" s="7">
        <v>720</v>
      </c>
      <c r="AV27" s="7">
        <v>720</v>
      </c>
      <c r="AW27" s="7">
        <v>720</v>
      </c>
      <c r="AX27" s="92">
        <v>720</v>
      </c>
      <c r="AY27" s="92">
        <v>720</v>
      </c>
      <c r="AZ27" s="92">
        <v>720</v>
      </c>
      <c r="BA27" s="92">
        <v>720</v>
      </c>
      <c r="BB27" s="92">
        <v>720</v>
      </c>
      <c r="BC27" s="92">
        <v>720</v>
      </c>
      <c r="BD27" s="92">
        <v>720</v>
      </c>
      <c r="BE27" s="92">
        <v>720</v>
      </c>
      <c r="BF27" s="92">
        <v>720</v>
      </c>
      <c r="BG27" s="92">
        <v>720</v>
      </c>
      <c r="BH27" s="92">
        <v>720</v>
      </c>
      <c r="BI27" s="92">
        <v>720</v>
      </c>
      <c r="BJ27" s="92">
        <v>720</v>
      </c>
      <c r="BK27" s="92">
        <v>720</v>
      </c>
      <c r="BL27" s="92">
        <v>720</v>
      </c>
      <c r="BM27" s="92">
        <v>720</v>
      </c>
      <c r="BN27" s="92">
        <v>720</v>
      </c>
      <c r="BO27" s="92">
        <v>720</v>
      </c>
      <c r="BP27" s="92">
        <v>720</v>
      </c>
      <c r="BQ27" s="92">
        <v>1020</v>
      </c>
      <c r="BR27" s="92">
        <v>720</v>
      </c>
      <c r="BS27" s="92">
        <v>720</v>
      </c>
      <c r="BT27" s="92">
        <v>720</v>
      </c>
      <c r="BU27" s="92">
        <v>720</v>
      </c>
      <c r="BV27" s="92">
        <v>720</v>
      </c>
      <c r="BW27" s="92">
        <v>720</v>
      </c>
      <c r="BX27" s="92">
        <v>720</v>
      </c>
      <c r="BY27" s="92">
        <v>720</v>
      </c>
      <c r="BZ27" s="92">
        <v>720</v>
      </c>
      <c r="CA27" s="92">
        <v>720</v>
      </c>
      <c r="CB27" s="92">
        <v>720</v>
      </c>
      <c r="CC27" s="92">
        <v>720</v>
      </c>
      <c r="CD27" s="92">
        <v>720</v>
      </c>
      <c r="CE27" s="92">
        <v>720</v>
      </c>
      <c r="CF27" s="92">
        <v>720</v>
      </c>
      <c r="CG27" s="92">
        <v>720</v>
      </c>
      <c r="CH27" s="92">
        <v>720</v>
      </c>
      <c r="CI27" s="92">
        <f>720+2419</f>
        <v>3139</v>
      </c>
      <c r="CJ27" s="92">
        <v>720</v>
      </c>
      <c r="CK27" s="92">
        <v>1500</v>
      </c>
      <c r="CL27" s="92">
        <v>1500</v>
      </c>
      <c r="CM27" s="92">
        <v>1500</v>
      </c>
      <c r="CN27" s="92">
        <v>1500</v>
      </c>
      <c r="CO27" s="92">
        <v>1500</v>
      </c>
      <c r="CP27" s="92">
        <v>4000</v>
      </c>
      <c r="CQ27" s="92">
        <v>1500</v>
      </c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8">
        <f>1500*2</f>
        <v>3000</v>
      </c>
      <c r="DE27" s="38"/>
      <c r="DF27" s="111">
        <f>2500+2500</f>
        <v>5000</v>
      </c>
      <c r="DH27" s="8">
        <f>+SUM(AX27:DC27)</f>
        <v>43799</v>
      </c>
      <c r="DP27" s="9">
        <v>720</v>
      </c>
      <c r="DT27" s="9">
        <v>1500</v>
      </c>
      <c r="FN27" s="7">
        <v>720</v>
      </c>
    </row>
    <row r="28" spans="1:170" s="9" customFormat="1" ht="13.5" x14ac:dyDescent="0.25">
      <c r="A28" s="16">
        <v>2</v>
      </c>
      <c r="B28" s="7" t="s">
        <v>81</v>
      </c>
      <c r="C28" s="8" t="s">
        <v>82</v>
      </c>
      <c r="D28" s="7">
        <v>2</v>
      </c>
      <c r="E28" s="7">
        <v>790</v>
      </c>
      <c r="F28" s="7">
        <v>790</v>
      </c>
      <c r="G28" s="7">
        <v>790</v>
      </c>
      <c r="H28" s="7">
        <v>790</v>
      </c>
      <c r="I28" s="7">
        <v>790</v>
      </c>
      <c r="J28" s="7">
        <v>790</v>
      </c>
      <c r="K28" s="7">
        <v>790</v>
      </c>
      <c r="L28" s="7">
        <v>790</v>
      </c>
      <c r="M28" s="7">
        <v>790</v>
      </c>
      <c r="N28" s="7">
        <v>790</v>
      </c>
      <c r="O28" s="7">
        <v>790</v>
      </c>
      <c r="P28" s="7">
        <v>790</v>
      </c>
      <c r="Q28" s="7">
        <v>790</v>
      </c>
      <c r="R28" s="7">
        <v>790</v>
      </c>
      <c r="S28" s="7">
        <v>790</v>
      </c>
      <c r="T28" s="7">
        <v>790</v>
      </c>
      <c r="U28" s="7">
        <v>790</v>
      </c>
      <c r="V28" s="7">
        <v>790</v>
      </c>
      <c r="W28" s="7">
        <v>790</v>
      </c>
      <c r="X28" s="7">
        <v>790</v>
      </c>
      <c r="Y28" s="7">
        <v>790</v>
      </c>
      <c r="Z28" s="7">
        <v>790</v>
      </c>
      <c r="AA28" s="7">
        <v>790</v>
      </c>
      <c r="AB28" s="7">
        <v>790</v>
      </c>
      <c r="AC28" s="7">
        <v>790</v>
      </c>
      <c r="AD28" s="7">
        <v>790</v>
      </c>
      <c r="AE28" s="7">
        <v>790</v>
      </c>
      <c r="AF28" s="7">
        <v>790</v>
      </c>
      <c r="AG28" s="7">
        <v>790</v>
      </c>
      <c r="AH28" s="7">
        <v>790</v>
      </c>
      <c r="AI28" s="7">
        <v>790</v>
      </c>
      <c r="AJ28" s="7">
        <v>790</v>
      </c>
      <c r="AK28" s="7">
        <v>790</v>
      </c>
      <c r="AL28" s="7">
        <v>790</v>
      </c>
      <c r="AM28" s="7">
        <v>790</v>
      </c>
      <c r="AN28" s="7">
        <v>790</v>
      </c>
      <c r="AO28" s="7">
        <v>790</v>
      </c>
      <c r="AP28" s="7">
        <v>790</v>
      </c>
      <c r="AQ28" s="7">
        <v>790</v>
      </c>
      <c r="AR28" s="7">
        <v>790</v>
      </c>
      <c r="AS28" s="7">
        <v>790</v>
      </c>
      <c r="AT28" s="7">
        <v>790</v>
      </c>
      <c r="AU28" s="7">
        <v>790</v>
      </c>
      <c r="AV28" s="7">
        <v>790</v>
      </c>
      <c r="AW28" s="7">
        <v>790</v>
      </c>
      <c r="AX28" s="92">
        <v>790</v>
      </c>
      <c r="AY28" s="92">
        <v>790</v>
      </c>
      <c r="AZ28" s="92">
        <v>790</v>
      </c>
      <c r="BA28" s="92">
        <v>790</v>
      </c>
      <c r="BB28" s="92">
        <v>790</v>
      </c>
      <c r="BC28" s="92">
        <v>790</v>
      </c>
      <c r="BD28" s="92">
        <v>790</v>
      </c>
      <c r="BE28" s="92">
        <v>790</v>
      </c>
      <c r="BF28" s="92">
        <v>790</v>
      </c>
      <c r="BG28" s="92">
        <v>790</v>
      </c>
      <c r="BH28" s="92">
        <v>790</v>
      </c>
      <c r="BI28" s="92">
        <v>790</v>
      </c>
      <c r="BJ28" s="92">
        <v>790</v>
      </c>
      <c r="BK28" s="92">
        <v>790</v>
      </c>
      <c r="BL28" s="92">
        <v>790</v>
      </c>
      <c r="BM28" s="92">
        <v>790</v>
      </c>
      <c r="BN28" s="92">
        <v>790</v>
      </c>
      <c r="BO28" s="92">
        <v>790</v>
      </c>
      <c r="BP28" s="92">
        <v>790</v>
      </c>
      <c r="BQ28" s="92">
        <v>790</v>
      </c>
      <c r="BR28" s="92">
        <v>790</v>
      </c>
      <c r="BS28" s="92">
        <v>790</v>
      </c>
      <c r="BT28" s="92">
        <v>790</v>
      </c>
      <c r="BU28" s="92">
        <v>790</v>
      </c>
      <c r="BV28" s="92">
        <v>360</v>
      </c>
      <c r="BW28" s="92">
        <v>790</v>
      </c>
      <c r="BX28" s="92">
        <v>790</v>
      </c>
      <c r="BY28" s="92">
        <v>790</v>
      </c>
      <c r="BZ28" s="92">
        <v>790</v>
      </c>
      <c r="CA28" s="92">
        <v>790</v>
      </c>
      <c r="CB28" s="92">
        <v>790</v>
      </c>
      <c r="CC28" s="92">
        <v>790</v>
      </c>
      <c r="CD28" s="92">
        <v>790</v>
      </c>
      <c r="CE28" s="92">
        <v>790</v>
      </c>
      <c r="CF28" s="92">
        <v>790</v>
      </c>
      <c r="CG28" s="92">
        <v>790</v>
      </c>
      <c r="CH28" s="92">
        <v>790</v>
      </c>
      <c r="CI28" s="92">
        <v>790</v>
      </c>
      <c r="CJ28" s="92">
        <v>3632</v>
      </c>
      <c r="CK28" s="92">
        <v>1650</v>
      </c>
      <c r="CL28" s="92">
        <v>1650</v>
      </c>
      <c r="CM28" s="92">
        <v>1650</v>
      </c>
      <c r="CN28" s="92">
        <v>1650</v>
      </c>
      <c r="CO28" s="92">
        <v>1650</v>
      </c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8">
        <f>1650*4</f>
        <v>6600</v>
      </c>
      <c r="DE28" s="38"/>
      <c r="DF28" s="113"/>
      <c r="DH28" s="8">
        <f>+SUM(AX28:DC28)</f>
        <v>41472</v>
      </c>
      <c r="DP28" s="9">
        <v>790</v>
      </c>
      <c r="DT28" s="9">
        <v>1650</v>
      </c>
      <c r="FN28" s="7">
        <v>790</v>
      </c>
    </row>
    <row r="29" spans="1:170" s="9" customFormat="1" ht="13.5" x14ac:dyDescent="0.25">
      <c r="A29" s="16">
        <v>3</v>
      </c>
      <c r="B29" s="7" t="s">
        <v>81</v>
      </c>
      <c r="C29" s="8" t="s">
        <v>83</v>
      </c>
      <c r="D29" s="7">
        <v>3</v>
      </c>
      <c r="E29" s="7">
        <v>720</v>
      </c>
      <c r="F29" s="7">
        <v>720</v>
      </c>
      <c r="G29" s="7">
        <v>720</v>
      </c>
      <c r="H29" s="7">
        <v>720</v>
      </c>
      <c r="I29" s="7">
        <v>720</v>
      </c>
      <c r="J29" s="7">
        <v>720</v>
      </c>
      <c r="K29" s="7">
        <v>720</v>
      </c>
      <c r="L29" s="7">
        <v>720</v>
      </c>
      <c r="M29" s="7">
        <v>720</v>
      </c>
      <c r="N29" s="7">
        <v>720</v>
      </c>
      <c r="O29" s="7">
        <v>720</v>
      </c>
      <c r="P29" s="7">
        <v>720</v>
      </c>
      <c r="Q29" s="7">
        <v>720</v>
      </c>
      <c r="R29" s="7">
        <v>720</v>
      </c>
      <c r="S29" s="7">
        <v>720</v>
      </c>
      <c r="T29" s="7">
        <v>720</v>
      </c>
      <c r="U29" s="7">
        <v>720</v>
      </c>
      <c r="V29" s="7">
        <v>720</v>
      </c>
      <c r="W29" s="7">
        <v>720</v>
      </c>
      <c r="X29" s="7">
        <v>720</v>
      </c>
      <c r="Y29" s="7">
        <v>720</v>
      </c>
      <c r="Z29" s="7">
        <v>720</v>
      </c>
      <c r="AA29" s="7">
        <v>720</v>
      </c>
      <c r="AB29" s="7">
        <v>720</v>
      </c>
      <c r="AC29" s="7">
        <v>720</v>
      </c>
      <c r="AD29" s="7">
        <v>720</v>
      </c>
      <c r="AE29" s="7">
        <v>720</v>
      </c>
      <c r="AF29" s="7">
        <v>720</v>
      </c>
      <c r="AG29" s="7">
        <v>720</v>
      </c>
      <c r="AH29" s="7">
        <v>720</v>
      </c>
      <c r="AI29" s="7">
        <v>720</v>
      </c>
      <c r="AJ29" s="7">
        <v>720</v>
      </c>
      <c r="AK29" s="7">
        <v>720</v>
      </c>
      <c r="AL29" s="7">
        <v>720</v>
      </c>
      <c r="AM29" s="7">
        <v>720</v>
      </c>
      <c r="AN29" s="7">
        <v>720</v>
      </c>
      <c r="AO29" s="7">
        <v>720</v>
      </c>
      <c r="AP29" s="7">
        <v>720</v>
      </c>
      <c r="AQ29" s="7">
        <v>720</v>
      </c>
      <c r="AR29" s="7">
        <v>720</v>
      </c>
      <c r="AS29" s="7">
        <v>720</v>
      </c>
      <c r="AT29" s="7">
        <v>720</v>
      </c>
      <c r="AU29" s="7">
        <v>720</v>
      </c>
      <c r="AV29" s="7">
        <v>720</v>
      </c>
      <c r="AW29" s="92">
        <v>720</v>
      </c>
      <c r="AX29" s="92">
        <v>720</v>
      </c>
      <c r="AY29" s="92">
        <v>720</v>
      </c>
      <c r="AZ29" s="92">
        <v>720</v>
      </c>
      <c r="BA29" s="92">
        <v>720</v>
      </c>
      <c r="BB29" s="92">
        <v>720</v>
      </c>
      <c r="BC29" s="92">
        <v>720</v>
      </c>
      <c r="BD29" s="92">
        <v>720</v>
      </c>
      <c r="BE29" s="92">
        <v>720</v>
      </c>
      <c r="BF29" s="92">
        <v>720</v>
      </c>
      <c r="BG29" s="92">
        <v>720</v>
      </c>
      <c r="BH29" s="92">
        <v>720</v>
      </c>
      <c r="BI29" s="92">
        <v>720</v>
      </c>
      <c r="BJ29" s="92">
        <v>720</v>
      </c>
      <c r="BK29" s="92">
        <v>720</v>
      </c>
      <c r="BL29" s="92">
        <v>720</v>
      </c>
      <c r="BM29" s="92">
        <v>720</v>
      </c>
      <c r="BN29" s="92">
        <v>720</v>
      </c>
      <c r="BO29" s="92">
        <v>720</v>
      </c>
      <c r="BP29" s="92">
        <v>720</v>
      </c>
      <c r="BQ29" s="92">
        <v>720</v>
      </c>
      <c r="BR29" s="92">
        <v>720</v>
      </c>
      <c r="BS29" s="92">
        <v>720</v>
      </c>
      <c r="BT29" s="92">
        <v>720</v>
      </c>
      <c r="BU29" s="92">
        <v>720</v>
      </c>
      <c r="BV29" s="92">
        <v>720</v>
      </c>
      <c r="BW29" s="92">
        <v>720</v>
      </c>
      <c r="BX29" s="92">
        <v>720</v>
      </c>
      <c r="BY29" s="92">
        <v>720</v>
      </c>
      <c r="BZ29" s="92">
        <v>720</v>
      </c>
      <c r="CA29" s="92">
        <v>720</v>
      </c>
      <c r="CB29" s="92">
        <v>720</v>
      </c>
      <c r="CC29" s="92">
        <v>720</v>
      </c>
      <c r="CD29" s="92">
        <v>720</v>
      </c>
      <c r="CE29" s="92">
        <v>720</v>
      </c>
      <c r="CF29" s="92">
        <v>720</v>
      </c>
      <c r="CG29" s="92">
        <v>720</v>
      </c>
      <c r="CH29" s="92">
        <v>720</v>
      </c>
      <c r="CI29" s="92">
        <v>720</v>
      </c>
      <c r="CJ29" s="92">
        <v>720</v>
      </c>
      <c r="CK29" s="92">
        <v>1500</v>
      </c>
      <c r="CL29" s="92">
        <v>1500</v>
      </c>
      <c r="CM29" s="92">
        <v>1500</v>
      </c>
      <c r="CN29" s="92">
        <v>1500</v>
      </c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8">
        <f>1500*5</f>
        <v>7500</v>
      </c>
      <c r="DE29" s="38"/>
      <c r="DF29" s="113"/>
      <c r="DH29" s="8">
        <f>+SUM(AW29:DC29)</f>
        <v>34800</v>
      </c>
      <c r="DP29" s="9">
        <v>720</v>
      </c>
      <c r="DT29" s="9">
        <v>1500</v>
      </c>
      <c r="FN29" s="7">
        <v>720</v>
      </c>
    </row>
    <row r="30" spans="1:170" s="9" customFormat="1" ht="13.5" x14ac:dyDescent="0.25">
      <c r="A30" s="16">
        <v>4</v>
      </c>
      <c r="B30" s="7" t="s">
        <v>81</v>
      </c>
      <c r="C30" s="8" t="s">
        <v>134</v>
      </c>
      <c r="D30" s="7">
        <v>4</v>
      </c>
      <c r="E30" s="7">
        <v>720</v>
      </c>
      <c r="F30" s="7">
        <v>720</v>
      </c>
      <c r="G30" s="7">
        <v>720</v>
      </c>
      <c r="H30" s="7">
        <v>790</v>
      </c>
      <c r="I30" s="7">
        <v>790</v>
      </c>
      <c r="J30" s="7">
        <v>790</v>
      </c>
      <c r="K30" s="7">
        <v>790</v>
      </c>
      <c r="L30" s="7">
        <v>720</v>
      </c>
      <c r="M30" s="7">
        <v>720</v>
      </c>
      <c r="N30" s="7">
        <v>720</v>
      </c>
      <c r="O30" s="7">
        <v>720</v>
      </c>
      <c r="P30" s="7">
        <v>720</v>
      </c>
      <c r="Q30" s="7">
        <v>720</v>
      </c>
      <c r="R30" s="7">
        <v>720</v>
      </c>
      <c r="S30" s="7">
        <v>720</v>
      </c>
      <c r="T30" s="7">
        <v>720</v>
      </c>
      <c r="U30" s="7">
        <v>720</v>
      </c>
      <c r="V30" s="7">
        <v>720</v>
      </c>
      <c r="W30" s="7">
        <v>720</v>
      </c>
      <c r="X30" s="7">
        <v>790</v>
      </c>
      <c r="Y30" s="7">
        <v>790</v>
      </c>
      <c r="Z30" s="7">
        <v>790</v>
      </c>
      <c r="AA30" s="7">
        <v>790</v>
      </c>
      <c r="AB30" s="7">
        <v>790</v>
      </c>
      <c r="AC30" s="7">
        <v>790</v>
      </c>
      <c r="AD30" s="7">
        <v>790</v>
      </c>
      <c r="AE30" s="7">
        <v>790</v>
      </c>
      <c r="AF30" s="7">
        <v>790</v>
      </c>
      <c r="AG30" s="7">
        <v>790</v>
      </c>
      <c r="AH30" s="7">
        <v>790</v>
      </c>
      <c r="AI30" s="7">
        <v>790</v>
      </c>
      <c r="AJ30" s="7">
        <v>790</v>
      </c>
      <c r="AK30" s="7">
        <v>720</v>
      </c>
      <c r="AL30" s="7">
        <v>720</v>
      </c>
      <c r="AM30" s="7">
        <v>720</v>
      </c>
      <c r="AN30" s="7">
        <v>720</v>
      </c>
      <c r="AO30" s="7">
        <v>720</v>
      </c>
      <c r="AP30" s="7">
        <v>720</v>
      </c>
      <c r="AQ30" s="7">
        <v>720</v>
      </c>
      <c r="AR30" s="7">
        <v>720</v>
      </c>
      <c r="AS30" s="7">
        <v>720</v>
      </c>
      <c r="AT30" s="7">
        <v>720</v>
      </c>
      <c r="AU30" s="7">
        <v>720</v>
      </c>
      <c r="AV30" s="7">
        <v>720</v>
      </c>
      <c r="AW30" s="92">
        <v>720</v>
      </c>
      <c r="AX30" s="92">
        <v>720</v>
      </c>
      <c r="AY30" s="92">
        <v>720</v>
      </c>
      <c r="AZ30" s="92">
        <v>720</v>
      </c>
      <c r="BA30" s="92">
        <v>720</v>
      </c>
      <c r="BB30" s="92">
        <v>720</v>
      </c>
      <c r="BC30" s="92">
        <v>720</v>
      </c>
      <c r="BD30" s="92">
        <v>720</v>
      </c>
      <c r="BE30" s="92">
        <v>720</v>
      </c>
      <c r="BF30" s="92">
        <v>720</v>
      </c>
      <c r="BG30" s="92">
        <v>720</v>
      </c>
      <c r="BH30" s="92">
        <v>720</v>
      </c>
      <c r="BI30" s="92">
        <v>720</v>
      </c>
      <c r="BJ30" s="92">
        <v>720</v>
      </c>
      <c r="BK30" s="92">
        <v>720</v>
      </c>
      <c r="BL30" s="92">
        <v>720</v>
      </c>
      <c r="BM30" s="92">
        <v>720</v>
      </c>
      <c r="BN30" s="92">
        <v>720</v>
      </c>
      <c r="BO30" s="92">
        <v>720</v>
      </c>
      <c r="BP30" s="92">
        <v>720</v>
      </c>
      <c r="BQ30" s="92">
        <v>720</v>
      </c>
      <c r="BR30" s="92">
        <v>720</v>
      </c>
      <c r="BS30" s="92">
        <v>720</v>
      </c>
      <c r="BT30" s="92">
        <v>720</v>
      </c>
      <c r="BU30" s="92">
        <v>720</v>
      </c>
      <c r="BV30" s="92">
        <v>720</v>
      </c>
      <c r="BW30" s="92">
        <v>720</v>
      </c>
      <c r="BX30" s="92">
        <v>720</v>
      </c>
      <c r="BY30" s="92">
        <v>720</v>
      </c>
      <c r="BZ30" s="92">
        <v>720</v>
      </c>
      <c r="CA30" s="92">
        <v>720</v>
      </c>
      <c r="CB30" s="92">
        <v>720</v>
      </c>
      <c r="CC30" s="92">
        <v>720</v>
      </c>
      <c r="CD30" s="92">
        <v>720</v>
      </c>
      <c r="CE30" s="92">
        <v>720</v>
      </c>
      <c r="CF30" s="92">
        <v>720</v>
      </c>
      <c r="CG30" s="92">
        <v>720</v>
      </c>
      <c r="CH30" s="92">
        <v>720</v>
      </c>
      <c r="CI30" s="92">
        <v>720</v>
      </c>
      <c r="CJ30" s="92">
        <v>720</v>
      </c>
      <c r="CK30" s="92">
        <v>1500</v>
      </c>
      <c r="CL30" s="92">
        <v>1500</v>
      </c>
      <c r="CM30" s="92">
        <v>1500</v>
      </c>
      <c r="CN30" s="92">
        <v>1500</v>
      </c>
      <c r="CO30" s="92">
        <v>1500</v>
      </c>
      <c r="CP30" s="92">
        <v>1500</v>
      </c>
      <c r="CQ30" s="92">
        <v>1500</v>
      </c>
      <c r="CR30" s="92">
        <v>1500</v>
      </c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8">
        <v>1500</v>
      </c>
      <c r="DE30" s="17" t="s">
        <v>61</v>
      </c>
      <c r="DF30" s="113"/>
      <c r="DH30" s="8">
        <f>+SUM(AW30:DC30)</f>
        <v>40800</v>
      </c>
      <c r="DP30" s="9">
        <f t="shared" si="0"/>
        <v>720</v>
      </c>
      <c r="DT30" s="9">
        <v>1500</v>
      </c>
      <c r="FN30" s="7">
        <v>720</v>
      </c>
    </row>
    <row r="31" spans="1:170" s="9" customFormat="1" ht="13.5" x14ac:dyDescent="0.25">
      <c r="A31" s="16">
        <v>5</v>
      </c>
      <c r="B31" s="7" t="s">
        <v>81</v>
      </c>
      <c r="C31" s="8" t="s">
        <v>147</v>
      </c>
      <c r="D31" s="7">
        <v>5</v>
      </c>
      <c r="E31" s="7">
        <v>720</v>
      </c>
      <c r="F31" s="7">
        <v>720</v>
      </c>
      <c r="G31" s="7">
        <v>720</v>
      </c>
      <c r="H31" s="7">
        <v>720</v>
      </c>
      <c r="I31" s="7">
        <v>720</v>
      </c>
      <c r="J31" s="7">
        <v>720</v>
      </c>
      <c r="K31" s="7">
        <v>720</v>
      </c>
      <c r="L31" s="7">
        <v>720</v>
      </c>
      <c r="M31" s="7">
        <v>720</v>
      </c>
      <c r="N31" s="7">
        <v>720</v>
      </c>
      <c r="O31" s="7">
        <v>720</v>
      </c>
      <c r="P31" s="7">
        <v>720</v>
      </c>
      <c r="Q31" s="7">
        <v>720</v>
      </c>
      <c r="R31" s="7">
        <v>720</v>
      </c>
      <c r="S31" s="7">
        <v>720</v>
      </c>
      <c r="T31" s="7">
        <v>720</v>
      </c>
      <c r="U31" s="7">
        <v>720</v>
      </c>
      <c r="V31" s="7">
        <v>720</v>
      </c>
      <c r="W31" s="7">
        <v>720</v>
      </c>
      <c r="X31" s="7">
        <v>720</v>
      </c>
      <c r="Y31" s="7">
        <v>720</v>
      </c>
      <c r="Z31" s="7">
        <v>720</v>
      </c>
      <c r="AA31" s="7">
        <v>720</v>
      </c>
      <c r="AB31" s="7">
        <v>720</v>
      </c>
      <c r="AC31" s="7">
        <v>720</v>
      </c>
      <c r="AD31" s="7">
        <v>720</v>
      </c>
      <c r="AE31" s="7">
        <v>720</v>
      </c>
      <c r="AF31" s="7">
        <v>720</v>
      </c>
      <c r="AG31" s="7">
        <v>720</v>
      </c>
      <c r="AH31" s="7">
        <v>720</v>
      </c>
      <c r="AI31" s="7">
        <v>720</v>
      </c>
      <c r="AJ31" s="7">
        <v>720</v>
      </c>
      <c r="AK31" s="7">
        <v>720</v>
      </c>
      <c r="AL31" s="7">
        <v>720</v>
      </c>
      <c r="AM31" s="7">
        <v>720</v>
      </c>
      <c r="AN31" s="7">
        <v>720</v>
      </c>
      <c r="AO31" s="7">
        <v>720</v>
      </c>
      <c r="AP31" s="7">
        <v>720</v>
      </c>
      <c r="AQ31" s="7">
        <v>720</v>
      </c>
      <c r="AR31" s="7">
        <v>720</v>
      </c>
      <c r="AS31" s="7">
        <v>720</v>
      </c>
      <c r="AT31" s="7">
        <v>720</v>
      </c>
      <c r="AU31" s="7">
        <v>720</v>
      </c>
      <c r="AV31" s="7">
        <v>720</v>
      </c>
      <c r="AW31" s="7">
        <v>720</v>
      </c>
      <c r="AX31" s="7">
        <v>720</v>
      </c>
      <c r="AY31" s="7">
        <v>720</v>
      </c>
      <c r="AZ31" s="92">
        <v>790</v>
      </c>
      <c r="BA31" s="92">
        <v>790</v>
      </c>
      <c r="BB31" s="92">
        <v>790</v>
      </c>
      <c r="BC31" s="92">
        <v>790</v>
      </c>
      <c r="BD31" s="92">
        <v>790</v>
      </c>
      <c r="BE31" s="92">
        <v>790</v>
      </c>
      <c r="BF31" s="92">
        <v>790</v>
      </c>
      <c r="BG31" s="92">
        <v>790</v>
      </c>
      <c r="BH31" s="92">
        <v>790</v>
      </c>
      <c r="BI31" s="92">
        <v>790</v>
      </c>
      <c r="BJ31" s="92">
        <v>790</v>
      </c>
      <c r="BK31" s="92">
        <v>790</v>
      </c>
      <c r="BL31" s="92">
        <v>790</v>
      </c>
      <c r="BM31" s="92">
        <v>790</v>
      </c>
      <c r="BN31" s="92">
        <v>1290</v>
      </c>
      <c r="BO31" s="92">
        <v>790</v>
      </c>
      <c r="BP31" s="92">
        <v>790</v>
      </c>
      <c r="BQ31" s="92">
        <v>790</v>
      </c>
      <c r="BR31" s="92">
        <v>790</v>
      </c>
      <c r="BS31" s="92">
        <v>790</v>
      </c>
      <c r="BT31" s="92">
        <v>790</v>
      </c>
      <c r="BU31" s="92">
        <v>790</v>
      </c>
      <c r="BV31" s="92">
        <v>790</v>
      </c>
      <c r="BW31" s="92">
        <v>790</v>
      </c>
      <c r="BX31" s="92">
        <v>790</v>
      </c>
      <c r="BY31" s="92">
        <v>790</v>
      </c>
      <c r="BZ31" s="92">
        <v>790</v>
      </c>
      <c r="CA31" s="92">
        <v>790</v>
      </c>
      <c r="CB31" s="92">
        <v>790</v>
      </c>
      <c r="CC31" s="92">
        <v>790</v>
      </c>
      <c r="CD31" s="92">
        <v>790</v>
      </c>
      <c r="CE31" s="92">
        <v>790</v>
      </c>
      <c r="CF31" s="92">
        <v>790</v>
      </c>
      <c r="CG31" s="92">
        <v>790</v>
      </c>
      <c r="CH31" s="92">
        <v>790</v>
      </c>
      <c r="CI31" s="92">
        <v>790</v>
      </c>
      <c r="CJ31" s="92">
        <v>790</v>
      </c>
      <c r="CK31" s="92">
        <v>1650</v>
      </c>
      <c r="CL31" s="92">
        <v>1310</v>
      </c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8">
        <f>340+1650*7</f>
        <v>11890</v>
      </c>
      <c r="DE31" s="17"/>
      <c r="DF31" s="113"/>
      <c r="DH31" s="8">
        <f>+SUM(AZ31:DC31)</f>
        <v>32690</v>
      </c>
      <c r="DP31" s="9">
        <v>790</v>
      </c>
      <c r="DT31" s="9">
        <v>1650</v>
      </c>
      <c r="FN31" s="7">
        <v>720</v>
      </c>
    </row>
    <row r="32" spans="1:170" s="9" customFormat="1" ht="13.5" x14ac:dyDescent="0.25">
      <c r="A32" s="16">
        <v>6</v>
      </c>
      <c r="B32" s="7" t="s">
        <v>81</v>
      </c>
      <c r="C32" s="8" t="s">
        <v>84</v>
      </c>
      <c r="D32" s="7">
        <v>6</v>
      </c>
      <c r="E32" s="7">
        <v>720</v>
      </c>
      <c r="F32" s="7">
        <v>720</v>
      </c>
      <c r="G32" s="7">
        <v>720</v>
      </c>
      <c r="H32" s="7">
        <v>720</v>
      </c>
      <c r="I32" s="7">
        <v>720</v>
      </c>
      <c r="J32" s="7">
        <v>720</v>
      </c>
      <c r="K32" s="7">
        <v>720</v>
      </c>
      <c r="L32" s="7">
        <v>720</v>
      </c>
      <c r="M32" s="7">
        <v>720</v>
      </c>
      <c r="N32" s="7">
        <v>720</v>
      </c>
      <c r="O32" s="7">
        <v>720</v>
      </c>
      <c r="P32" s="7">
        <v>720</v>
      </c>
      <c r="Q32" s="7">
        <v>720</v>
      </c>
      <c r="R32" s="7">
        <v>720</v>
      </c>
      <c r="S32" s="7">
        <v>720</v>
      </c>
      <c r="T32" s="7">
        <v>720</v>
      </c>
      <c r="U32" s="7">
        <v>720</v>
      </c>
      <c r="V32" s="7">
        <v>720</v>
      </c>
      <c r="W32" s="7">
        <v>720</v>
      </c>
      <c r="X32" s="7">
        <v>720</v>
      </c>
      <c r="Y32" s="7">
        <v>720</v>
      </c>
      <c r="Z32" s="7">
        <v>720</v>
      </c>
      <c r="AA32" s="7">
        <v>720</v>
      </c>
      <c r="AB32" s="7">
        <v>720</v>
      </c>
      <c r="AC32" s="7">
        <v>720</v>
      </c>
      <c r="AD32" s="7">
        <v>720</v>
      </c>
      <c r="AE32" s="7">
        <v>720</v>
      </c>
      <c r="AF32" s="7">
        <v>720</v>
      </c>
      <c r="AG32" s="7">
        <v>720</v>
      </c>
      <c r="AH32" s="7">
        <v>720</v>
      </c>
      <c r="AI32" s="7">
        <v>720</v>
      </c>
      <c r="AJ32" s="7">
        <v>720</v>
      </c>
      <c r="AK32" s="7">
        <v>720</v>
      </c>
      <c r="AL32" s="7">
        <v>720</v>
      </c>
      <c r="AM32" s="7">
        <v>720</v>
      </c>
      <c r="AN32" s="7">
        <v>720</v>
      </c>
      <c r="AO32" s="7">
        <v>720</v>
      </c>
      <c r="AP32" s="7">
        <v>720</v>
      </c>
      <c r="AQ32" s="7">
        <v>720</v>
      </c>
      <c r="AR32" s="7">
        <v>720</v>
      </c>
      <c r="AS32" s="7">
        <v>720</v>
      </c>
      <c r="AT32" s="7">
        <v>720</v>
      </c>
      <c r="AU32" s="7">
        <v>720</v>
      </c>
      <c r="AV32" s="7">
        <v>720</v>
      </c>
      <c r="AW32" s="7">
        <v>720</v>
      </c>
      <c r="AX32" s="7">
        <v>720</v>
      </c>
      <c r="AY32" s="7">
        <v>720</v>
      </c>
      <c r="AZ32" s="7">
        <v>720</v>
      </c>
      <c r="BA32" s="7">
        <v>720</v>
      </c>
      <c r="BB32" s="7">
        <v>720</v>
      </c>
      <c r="BC32" s="7">
        <v>720</v>
      </c>
      <c r="BD32" s="92">
        <v>720</v>
      </c>
      <c r="BE32" s="92">
        <v>720</v>
      </c>
      <c r="BF32" s="92">
        <v>720</v>
      </c>
      <c r="BG32" s="92">
        <v>720</v>
      </c>
      <c r="BH32" s="92">
        <v>720</v>
      </c>
      <c r="BI32" s="92">
        <v>720</v>
      </c>
      <c r="BJ32" s="92">
        <v>720</v>
      </c>
      <c r="BK32" s="92">
        <v>720</v>
      </c>
      <c r="BL32" s="92">
        <v>720</v>
      </c>
      <c r="BM32" s="92">
        <v>720</v>
      </c>
      <c r="BN32" s="92">
        <v>720</v>
      </c>
      <c r="BO32" s="92">
        <v>720</v>
      </c>
      <c r="BP32" s="92">
        <v>720</v>
      </c>
      <c r="BQ32" s="92">
        <v>720</v>
      </c>
      <c r="BR32" s="92">
        <v>720</v>
      </c>
      <c r="BS32" s="92">
        <v>720</v>
      </c>
      <c r="BT32" s="92">
        <v>720</v>
      </c>
      <c r="BU32" s="92">
        <v>720</v>
      </c>
      <c r="BV32" s="92">
        <v>720</v>
      </c>
      <c r="BW32" s="92">
        <v>720</v>
      </c>
      <c r="BX32" s="92">
        <v>720</v>
      </c>
      <c r="BY32" s="92">
        <v>720</v>
      </c>
      <c r="BZ32" s="92">
        <v>720</v>
      </c>
      <c r="CA32" s="92">
        <v>720</v>
      </c>
      <c r="CB32" s="92">
        <v>720</v>
      </c>
      <c r="CC32" s="92">
        <v>720</v>
      </c>
      <c r="CD32" s="92">
        <v>720</v>
      </c>
      <c r="CE32" s="92">
        <v>720</v>
      </c>
      <c r="CF32" s="92">
        <v>720</v>
      </c>
      <c r="CG32" s="92">
        <v>720</v>
      </c>
      <c r="CH32" s="92">
        <v>720</v>
      </c>
      <c r="CI32" s="92">
        <v>720</v>
      </c>
      <c r="CJ32" s="92">
        <v>720</v>
      </c>
      <c r="CK32" s="92">
        <v>1500</v>
      </c>
      <c r="CL32" s="92">
        <v>1500</v>
      </c>
      <c r="CM32" s="92">
        <v>1500</v>
      </c>
      <c r="CN32" s="92">
        <v>6500</v>
      </c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8">
        <f>1500*5</f>
        <v>7500</v>
      </c>
      <c r="DE32" s="38"/>
      <c r="DF32" s="111">
        <v>5000</v>
      </c>
      <c r="DH32" s="8">
        <f>+SUM(BD32:DC32)</f>
        <v>34760</v>
      </c>
      <c r="DP32" s="9">
        <f t="shared" si="0"/>
        <v>720</v>
      </c>
      <c r="DT32" s="9">
        <v>1500</v>
      </c>
      <c r="FN32" s="7">
        <v>720</v>
      </c>
    </row>
    <row r="33" spans="1:170" s="9" customFormat="1" ht="13.5" x14ac:dyDescent="0.25">
      <c r="A33" s="16">
        <v>7</v>
      </c>
      <c r="B33" s="7" t="s">
        <v>81</v>
      </c>
      <c r="C33" s="8" t="s">
        <v>9</v>
      </c>
      <c r="D33" s="7">
        <v>7</v>
      </c>
      <c r="E33" s="7">
        <v>720</v>
      </c>
      <c r="F33" s="7">
        <v>720</v>
      </c>
      <c r="G33" s="7">
        <v>720</v>
      </c>
      <c r="H33" s="7">
        <v>720</v>
      </c>
      <c r="I33" s="7">
        <v>720</v>
      </c>
      <c r="J33" s="7">
        <v>720</v>
      </c>
      <c r="K33" s="7">
        <v>720</v>
      </c>
      <c r="L33" s="7">
        <v>720</v>
      </c>
      <c r="M33" s="7">
        <v>720</v>
      </c>
      <c r="N33" s="7">
        <v>720</v>
      </c>
      <c r="O33" s="7">
        <v>720</v>
      </c>
      <c r="P33" s="7">
        <v>720</v>
      </c>
      <c r="Q33" s="7">
        <v>720</v>
      </c>
      <c r="R33" s="7">
        <v>720</v>
      </c>
      <c r="S33" s="7">
        <v>720</v>
      </c>
      <c r="T33" s="7">
        <v>720</v>
      </c>
      <c r="U33" s="7">
        <v>720</v>
      </c>
      <c r="V33" s="7">
        <v>720</v>
      </c>
      <c r="W33" s="7">
        <v>720</v>
      </c>
      <c r="X33" s="7">
        <v>720</v>
      </c>
      <c r="Y33" s="7">
        <v>720</v>
      </c>
      <c r="Z33" s="7">
        <v>720</v>
      </c>
      <c r="AA33" s="7">
        <v>720</v>
      </c>
      <c r="AB33" s="7">
        <v>720</v>
      </c>
      <c r="AC33" s="7">
        <v>720</v>
      </c>
      <c r="AD33" s="7">
        <v>720</v>
      </c>
      <c r="AE33" s="7">
        <v>720</v>
      </c>
      <c r="AF33" s="7">
        <v>720</v>
      </c>
      <c r="AG33" s="7">
        <v>720</v>
      </c>
      <c r="AH33" s="7">
        <v>720</v>
      </c>
      <c r="AI33" s="7">
        <v>720</v>
      </c>
      <c r="AJ33" s="7">
        <v>720</v>
      </c>
      <c r="AK33" s="7">
        <v>720</v>
      </c>
      <c r="AL33" s="7">
        <v>720</v>
      </c>
      <c r="AM33" s="7">
        <v>720</v>
      </c>
      <c r="AN33" s="7">
        <v>720</v>
      </c>
      <c r="AO33" s="7">
        <v>720</v>
      </c>
      <c r="AP33" s="7">
        <v>720</v>
      </c>
      <c r="AQ33" s="7">
        <v>720</v>
      </c>
      <c r="AR33" s="7">
        <v>720</v>
      </c>
      <c r="AS33" s="92">
        <v>720</v>
      </c>
      <c r="AT33" s="7">
        <v>720</v>
      </c>
      <c r="AU33" s="7">
        <v>720</v>
      </c>
      <c r="AV33" s="7">
        <v>720</v>
      </c>
      <c r="AW33" s="7">
        <v>720</v>
      </c>
      <c r="AX33" s="7">
        <v>720</v>
      </c>
      <c r="AY33" s="7">
        <v>720</v>
      </c>
      <c r="AZ33" s="92">
        <v>720</v>
      </c>
      <c r="BA33" s="92">
        <v>720</v>
      </c>
      <c r="BB33" s="92">
        <v>720</v>
      </c>
      <c r="BC33" s="92">
        <v>720</v>
      </c>
      <c r="BD33" s="92">
        <v>720</v>
      </c>
      <c r="BE33" s="92">
        <v>720</v>
      </c>
      <c r="BF33" s="92">
        <v>720</v>
      </c>
      <c r="BG33" s="92">
        <v>720</v>
      </c>
      <c r="BH33" s="92">
        <v>720</v>
      </c>
      <c r="BI33" s="92">
        <v>720</v>
      </c>
      <c r="BJ33" s="92">
        <v>720</v>
      </c>
      <c r="BK33" s="92">
        <v>720</v>
      </c>
      <c r="BL33" s="92">
        <v>720</v>
      </c>
      <c r="BM33" s="92">
        <v>720</v>
      </c>
      <c r="BN33" s="92">
        <v>720</v>
      </c>
      <c r="BO33" s="92">
        <v>720</v>
      </c>
      <c r="BP33" s="92">
        <v>720</v>
      </c>
      <c r="BQ33" s="92">
        <v>720</v>
      </c>
      <c r="BR33" s="92">
        <v>720</v>
      </c>
      <c r="BS33" s="92">
        <v>720</v>
      </c>
      <c r="BT33" s="92">
        <v>720</v>
      </c>
      <c r="BU33" s="92">
        <v>720</v>
      </c>
      <c r="BV33" s="92">
        <v>720</v>
      </c>
      <c r="BW33" s="92">
        <v>720</v>
      </c>
      <c r="BX33" s="92">
        <v>720</v>
      </c>
      <c r="BY33" s="92">
        <v>720</v>
      </c>
      <c r="BZ33" s="92">
        <v>720</v>
      </c>
      <c r="CA33" s="92">
        <v>720</v>
      </c>
      <c r="CB33" s="92">
        <v>720</v>
      </c>
      <c r="CC33" s="92">
        <v>720</v>
      </c>
      <c r="CD33" s="92">
        <v>720</v>
      </c>
      <c r="CE33" s="92">
        <v>720</v>
      </c>
      <c r="CF33" s="92">
        <v>720</v>
      </c>
      <c r="CG33" s="92">
        <v>720</v>
      </c>
      <c r="CH33" s="92">
        <v>720</v>
      </c>
      <c r="CI33" s="92">
        <v>720</v>
      </c>
      <c r="CJ33" s="92">
        <v>720</v>
      </c>
      <c r="CK33" s="92">
        <v>1500</v>
      </c>
      <c r="CL33" s="92">
        <v>1500</v>
      </c>
      <c r="CM33" s="92">
        <v>1500</v>
      </c>
      <c r="CN33" s="92">
        <v>1500</v>
      </c>
      <c r="CO33" s="92">
        <v>1500</v>
      </c>
      <c r="CP33" s="92">
        <v>6500</v>
      </c>
      <c r="CQ33" s="92">
        <v>1500</v>
      </c>
      <c r="CR33" s="92">
        <v>1500</v>
      </c>
      <c r="CS33" s="92">
        <v>1500</v>
      </c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8">
        <v>0</v>
      </c>
      <c r="DE33" s="17" t="s">
        <v>112</v>
      </c>
      <c r="DF33" s="111">
        <v>5000</v>
      </c>
      <c r="DH33" s="8">
        <f>+SUM(AZ33:DC33)+AS33</f>
        <v>45860</v>
      </c>
      <c r="DP33" s="9">
        <f t="shared" si="0"/>
        <v>720</v>
      </c>
      <c r="DT33" s="9">
        <v>1500</v>
      </c>
      <c r="FN33" s="7">
        <v>720</v>
      </c>
    </row>
    <row r="34" spans="1:170" s="9" customFormat="1" ht="13.5" x14ac:dyDescent="0.25">
      <c r="A34" s="16">
        <v>8</v>
      </c>
      <c r="B34" s="7" t="s">
        <v>81</v>
      </c>
      <c r="C34" s="8" t="s">
        <v>150</v>
      </c>
      <c r="D34" s="7">
        <v>8</v>
      </c>
      <c r="E34" s="7">
        <v>790</v>
      </c>
      <c r="F34" s="7">
        <v>790</v>
      </c>
      <c r="G34" s="7">
        <v>790</v>
      </c>
      <c r="H34" s="7">
        <v>790</v>
      </c>
      <c r="I34" s="7">
        <v>790</v>
      </c>
      <c r="J34" s="7">
        <v>790</v>
      </c>
      <c r="K34" s="7">
        <v>790</v>
      </c>
      <c r="L34" s="7">
        <v>790</v>
      </c>
      <c r="M34" s="7">
        <v>790</v>
      </c>
      <c r="N34" s="7">
        <v>790</v>
      </c>
      <c r="O34" s="7">
        <v>790</v>
      </c>
      <c r="P34" s="7">
        <v>790</v>
      </c>
      <c r="Q34" s="7">
        <v>790</v>
      </c>
      <c r="R34" s="7">
        <v>790</v>
      </c>
      <c r="S34" s="7">
        <v>790</v>
      </c>
      <c r="T34" s="7">
        <v>790</v>
      </c>
      <c r="U34" s="7">
        <v>790</v>
      </c>
      <c r="V34" s="7">
        <v>790</v>
      </c>
      <c r="W34" s="7">
        <v>790</v>
      </c>
      <c r="X34" s="7">
        <v>790</v>
      </c>
      <c r="Y34" s="7">
        <v>790</v>
      </c>
      <c r="Z34" s="7">
        <v>790</v>
      </c>
      <c r="AA34" s="7">
        <v>790</v>
      </c>
      <c r="AB34" s="7">
        <v>790</v>
      </c>
      <c r="AC34" s="7">
        <v>790</v>
      </c>
      <c r="AD34" s="7">
        <v>790</v>
      </c>
      <c r="AE34" s="7">
        <v>790</v>
      </c>
      <c r="AF34" s="7">
        <v>790</v>
      </c>
      <c r="AG34" s="7">
        <v>790</v>
      </c>
      <c r="AH34" s="7">
        <v>790</v>
      </c>
      <c r="AI34" s="7">
        <v>790</v>
      </c>
      <c r="AJ34" s="7">
        <v>790</v>
      </c>
      <c r="AK34" s="7">
        <v>790</v>
      </c>
      <c r="AL34" s="7">
        <v>790</v>
      </c>
      <c r="AM34" s="7">
        <v>790</v>
      </c>
      <c r="AN34" s="7">
        <v>790</v>
      </c>
      <c r="AO34" s="7">
        <v>790</v>
      </c>
      <c r="AP34" s="7">
        <v>790</v>
      </c>
      <c r="AQ34" s="7">
        <v>790</v>
      </c>
      <c r="AR34" s="7">
        <v>790</v>
      </c>
      <c r="AS34" s="7">
        <v>790</v>
      </c>
      <c r="AT34" s="7">
        <v>790</v>
      </c>
      <c r="AU34" s="7">
        <v>790</v>
      </c>
      <c r="AV34" s="7">
        <v>790</v>
      </c>
      <c r="AW34" s="7">
        <v>790</v>
      </c>
      <c r="AX34" s="92">
        <v>790</v>
      </c>
      <c r="AY34" s="92">
        <v>790</v>
      </c>
      <c r="AZ34" s="92">
        <v>790</v>
      </c>
      <c r="BA34" s="92">
        <v>790</v>
      </c>
      <c r="BB34" s="92">
        <v>790</v>
      </c>
      <c r="BC34" s="92">
        <v>790</v>
      </c>
      <c r="BD34" s="92">
        <v>790</v>
      </c>
      <c r="BE34" s="92">
        <v>790</v>
      </c>
      <c r="BF34" s="92">
        <v>720</v>
      </c>
      <c r="BG34" s="92">
        <v>720</v>
      </c>
      <c r="BH34" s="92">
        <v>720</v>
      </c>
      <c r="BI34" s="92">
        <v>720</v>
      </c>
      <c r="BJ34" s="92">
        <v>720</v>
      </c>
      <c r="BK34" s="92">
        <v>720</v>
      </c>
      <c r="BL34" s="92">
        <v>720</v>
      </c>
      <c r="BM34" s="92">
        <v>720</v>
      </c>
      <c r="BN34" s="92">
        <v>720</v>
      </c>
      <c r="BO34" s="92">
        <v>720</v>
      </c>
      <c r="BP34" s="92">
        <v>720</v>
      </c>
      <c r="BQ34" s="92">
        <v>720</v>
      </c>
      <c r="BR34" s="92">
        <v>720</v>
      </c>
      <c r="BS34" s="92">
        <v>720</v>
      </c>
      <c r="BT34" s="92">
        <v>720</v>
      </c>
      <c r="BU34" s="92">
        <v>790</v>
      </c>
      <c r="BV34" s="92">
        <v>790</v>
      </c>
      <c r="BW34" s="92">
        <v>790</v>
      </c>
      <c r="BX34" s="92">
        <v>790</v>
      </c>
      <c r="BY34" s="92">
        <v>790</v>
      </c>
      <c r="BZ34" s="92">
        <v>720</v>
      </c>
      <c r="CA34" s="92">
        <v>720</v>
      </c>
      <c r="CB34" s="92">
        <v>720</v>
      </c>
      <c r="CC34" s="92">
        <v>720</v>
      </c>
      <c r="CD34" s="92">
        <v>720</v>
      </c>
      <c r="CE34" s="92">
        <v>720</v>
      </c>
      <c r="CF34" s="92">
        <v>5680</v>
      </c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8">
        <f>720*4+1500*9</f>
        <v>16380</v>
      </c>
      <c r="DE34" s="38"/>
      <c r="DF34" s="111">
        <v>5000</v>
      </c>
      <c r="DH34" s="8">
        <f>+SUM(AX34:DC34)</f>
        <v>31070</v>
      </c>
      <c r="DP34" s="9">
        <v>720</v>
      </c>
      <c r="DT34" s="9">
        <v>1500</v>
      </c>
      <c r="FN34" s="7">
        <v>720</v>
      </c>
    </row>
    <row r="35" spans="1:170" s="9" customFormat="1" ht="13.5" x14ac:dyDescent="0.25">
      <c r="A35" s="16">
        <v>9</v>
      </c>
      <c r="B35" s="7" t="s">
        <v>81</v>
      </c>
      <c r="C35" s="8" t="s">
        <v>149</v>
      </c>
      <c r="D35" s="7">
        <v>9</v>
      </c>
      <c r="E35" s="7">
        <v>720</v>
      </c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92">
        <v>720</v>
      </c>
      <c r="BB35" s="92">
        <v>720</v>
      </c>
      <c r="BC35" s="92">
        <v>720</v>
      </c>
      <c r="BD35" s="92">
        <v>720</v>
      </c>
      <c r="BE35" s="92">
        <v>720</v>
      </c>
      <c r="BF35" s="92">
        <v>720</v>
      </c>
      <c r="BG35" s="92">
        <v>720</v>
      </c>
      <c r="BH35" s="92">
        <v>720</v>
      </c>
      <c r="BI35" s="92">
        <v>720</v>
      </c>
      <c r="BJ35" s="92">
        <v>720</v>
      </c>
      <c r="BK35" s="92">
        <v>720</v>
      </c>
      <c r="BL35" s="92">
        <v>720</v>
      </c>
      <c r="BM35" s="92">
        <v>720</v>
      </c>
      <c r="BN35" s="92">
        <v>720</v>
      </c>
      <c r="BO35" s="92">
        <v>720</v>
      </c>
      <c r="BP35" s="92">
        <v>720</v>
      </c>
      <c r="BQ35" s="92">
        <v>720</v>
      </c>
      <c r="BR35" s="92">
        <v>720</v>
      </c>
      <c r="BS35" s="92">
        <v>720</v>
      </c>
      <c r="BT35" s="92">
        <v>720</v>
      </c>
      <c r="BU35" s="92">
        <v>720</v>
      </c>
      <c r="BV35" s="92">
        <v>720</v>
      </c>
      <c r="BW35" s="92">
        <v>720</v>
      </c>
      <c r="BX35" s="92">
        <v>720</v>
      </c>
      <c r="BY35" s="92">
        <v>720</v>
      </c>
      <c r="BZ35" s="92">
        <v>720</v>
      </c>
      <c r="CA35" s="92">
        <v>720</v>
      </c>
      <c r="CB35" s="92">
        <v>720</v>
      </c>
      <c r="CC35" s="92">
        <v>720</v>
      </c>
      <c r="CD35" s="92">
        <v>720</v>
      </c>
      <c r="CE35" s="92">
        <v>720</v>
      </c>
      <c r="CF35" s="92">
        <v>720</v>
      </c>
      <c r="CG35" s="92">
        <v>720</v>
      </c>
      <c r="CH35" s="92">
        <v>720</v>
      </c>
      <c r="CI35" s="92">
        <v>720</v>
      </c>
      <c r="CJ35" s="92">
        <v>720</v>
      </c>
      <c r="CK35" s="92">
        <v>1650</v>
      </c>
      <c r="CL35" s="92">
        <v>1650</v>
      </c>
      <c r="CM35" s="92">
        <v>1650</v>
      </c>
      <c r="CN35" s="92">
        <v>1650</v>
      </c>
      <c r="CO35" s="92">
        <v>1650</v>
      </c>
      <c r="CP35" s="92">
        <v>1650</v>
      </c>
      <c r="CQ35" s="92">
        <v>1650</v>
      </c>
      <c r="CR35" s="92">
        <v>1650</v>
      </c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8">
        <v>1650</v>
      </c>
      <c r="DE35" s="17"/>
      <c r="DF35" s="113"/>
      <c r="DH35" s="8">
        <f>+SUM(BA35:DC35)</f>
        <v>39120</v>
      </c>
      <c r="DP35" s="9">
        <f t="shared" si="0"/>
        <v>720</v>
      </c>
      <c r="DT35" s="9">
        <v>1650</v>
      </c>
      <c r="FN35" s="7">
        <v>720</v>
      </c>
    </row>
    <row r="36" spans="1:170" s="9" customFormat="1" ht="13.5" x14ac:dyDescent="0.25">
      <c r="A36" s="16">
        <v>10</v>
      </c>
      <c r="B36" s="7" t="s">
        <v>81</v>
      </c>
      <c r="C36" s="8" t="s">
        <v>148</v>
      </c>
      <c r="D36" s="7">
        <v>10</v>
      </c>
      <c r="E36" s="7">
        <v>720</v>
      </c>
      <c r="F36" s="7">
        <v>720</v>
      </c>
      <c r="G36" s="7">
        <v>720</v>
      </c>
      <c r="H36" s="7">
        <v>720</v>
      </c>
      <c r="I36" s="7">
        <v>720</v>
      </c>
      <c r="J36" s="7">
        <v>720</v>
      </c>
      <c r="K36" s="7">
        <v>720</v>
      </c>
      <c r="L36" s="7">
        <v>720</v>
      </c>
      <c r="M36" s="7">
        <v>720</v>
      </c>
      <c r="N36" s="7">
        <v>720</v>
      </c>
      <c r="O36" s="7">
        <v>720</v>
      </c>
      <c r="P36" s="7">
        <v>720</v>
      </c>
      <c r="Q36" s="7">
        <v>720</v>
      </c>
      <c r="R36" s="7">
        <v>720</v>
      </c>
      <c r="S36" s="7">
        <v>720</v>
      </c>
      <c r="T36" s="7">
        <v>720</v>
      </c>
      <c r="U36" s="7">
        <v>720</v>
      </c>
      <c r="V36" s="7">
        <v>720</v>
      </c>
      <c r="W36" s="7">
        <v>720</v>
      </c>
      <c r="X36" s="7">
        <v>720</v>
      </c>
      <c r="Y36" s="7">
        <v>720</v>
      </c>
      <c r="Z36" s="7">
        <v>720</v>
      </c>
      <c r="AA36" s="7">
        <v>720</v>
      </c>
      <c r="AB36" s="7">
        <v>720</v>
      </c>
      <c r="AC36" s="7">
        <v>720</v>
      </c>
      <c r="AD36" s="7">
        <v>720</v>
      </c>
      <c r="AE36" s="7">
        <v>720</v>
      </c>
      <c r="AF36" s="7">
        <v>720</v>
      </c>
      <c r="AG36" s="7">
        <v>720</v>
      </c>
      <c r="AH36" s="7">
        <v>720</v>
      </c>
      <c r="AI36" s="7">
        <v>720</v>
      </c>
      <c r="AJ36" s="7">
        <v>720</v>
      </c>
      <c r="AK36" s="7">
        <v>720</v>
      </c>
      <c r="AL36" s="7">
        <v>720</v>
      </c>
      <c r="AM36" s="7">
        <v>720</v>
      </c>
      <c r="AN36" s="7">
        <v>720</v>
      </c>
      <c r="AO36" s="7">
        <v>720</v>
      </c>
      <c r="AP36" s="7">
        <v>720</v>
      </c>
      <c r="AQ36" s="7">
        <v>720</v>
      </c>
      <c r="AR36" s="7">
        <v>720</v>
      </c>
      <c r="AS36" s="7">
        <v>720</v>
      </c>
      <c r="AT36" s="7">
        <v>720</v>
      </c>
      <c r="AU36" s="7">
        <v>720</v>
      </c>
      <c r="AV36" s="7">
        <v>720</v>
      </c>
      <c r="AW36" s="7">
        <v>720</v>
      </c>
      <c r="AX36" s="7">
        <v>720</v>
      </c>
      <c r="AY36" s="92">
        <v>790</v>
      </c>
      <c r="AZ36" s="92">
        <v>790</v>
      </c>
      <c r="BA36" s="92">
        <v>790</v>
      </c>
      <c r="BB36" s="92">
        <v>790</v>
      </c>
      <c r="BC36" s="92">
        <v>790</v>
      </c>
      <c r="BD36" s="92">
        <v>790</v>
      </c>
      <c r="BE36" s="92">
        <v>790</v>
      </c>
      <c r="BF36" s="92">
        <v>790</v>
      </c>
      <c r="BG36" s="92">
        <v>790</v>
      </c>
      <c r="BH36" s="92">
        <v>790</v>
      </c>
      <c r="BI36" s="92">
        <v>790</v>
      </c>
      <c r="BJ36" s="92">
        <v>790</v>
      </c>
      <c r="BK36" s="92">
        <v>790</v>
      </c>
      <c r="BL36" s="92">
        <v>790</v>
      </c>
      <c r="BM36" s="92">
        <v>790</v>
      </c>
      <c r="BN36" s="92">
        <v>790</v>
      </c>
      <c r="BO36" s="92">
        <v>790</v>
      </c>
      <c r="BP36" s="92">
        <v>790</v>
      </c>
      <c r="BQ36" s="92">
        <v>790</v>
      </c>
      <c r="BR36" s="92">
        <v>790</v>
      </c>
      <c r="BS36" s="92">
        <v>790</v>
      </c>
      <c r="BT36" s="92">
        <v>790</v>
      </c>
      <c r="BU36" s="92">
        <v>790</v>
      </c>
      <c r="BV36" s="92">
        <v>790</v>
      </c>
      <c r="BW36" s="92">
        <v>790</v>
      </c>
      <c r="BX36" s="92">
        <v>790</v>
      </c>
      <c r="BY36" s="92">
        <v>790</v>
      </c>
      <c r="BZ36" s="92">
        <v>790</v>
      </c>
      <c r="CA36" s="92">
        <v>790</v>
      </c>
      <c r="CB36" s="92">
        <v>790</v>
      </c>
      <c r="CC36" s="92">
        <v>790</v>
      </c>
      <c r="CD36" s="92">
        <v>790</v>
      </c>
      <c r="CE36" s="92">
        <v>790</v>
      </c>
      <c r="CF36" s="92">
        <v>790</v>
      </c>
      <c r="CG36" s="92">
        <v>790</v>
      </c>
      <c r="CH36" s="92">
        <v>790</v>
      </c>
      <c r="CI36" s="92">
        <v>790</v>
      </c>
      <c r="CJ36" s="92">
        <v>790</v>
      </c>
      <c r="CK36" s="92">
        <v>1650</v>
      </c>
      <c r="CL36" s="92">
        <v>6650</v>
      </c>
      <c r="CM36" s="92">
        <v>1650</v>
      </c>
      <c r="CN36" s="92">
        <v>1650</v>
      </c>
      <c r="CO36" s="92">
        <v>1650</v>
      </c>
      <c r="CP36" s="92">
        <v>1650</v>
      </c>
      <c r="CQ36" s="92">
        <v>1650</v>
      </c>
      <c r="CR36" s="92">
        <v>1650</v>
      </c>
      <c r="CS36" s="92">
        <v>1650</v>
      </c>
      <c r="CT36" s="92">
        <v>1650</v>
      </c>
      <c r="CU36" s="92">
        <v>1650</v>
      </c>
      <c r="CV36" s="92">
        <v>1650</v>
      </c>
      <c r="CW36" s="7"/>
      <c r="CX36" s="7"/>
      <c r="CY36" s="7"/>
      <c r="CZ36" s="7"/>
      <c r="DA36" s="7"/>
      <c r="DB36" s="7"/>
      <c r="DC36" s="7"/>
      <c r="DD36" s="8">
        <v>0</v>
      </c>
      <c r="DE36" s="38"/>
      <c r="DF36" s="111">
        <v>5000</v>
      </c>
      <c r="DH36" s="8">
        <f>+SUM(AY36:DC36)</f>
        <v>54820</v>
      </c>
      <c r="DP36" s="9">
        <f t="shared" si="0"/>
        <v>790</v>
      </c>
      <c r="DT36" s="9">
        <v>1650</v>
      </c>
      <c r="FN36" s="7">
        <v>790</v>
      </c>
    </row>
    <row r="37" spans="1:170" s="9" customFormat="1" ht="13.5" x14ac:dyDescent="0.25">
      <c r="A37" s="16">
        <v>11</v>
      </c>
      <c r="B37" s="7" t="s">
        <v>81</v>
      </c>
      <c r="C37" s="8" t="s">
        <v>85</v>
      </c>
      <c r="D37" s="7">
        <v>11</v>
      </c>
      <c r="E37" s="7">
        <v>720</v>
      </c>
      <c r="F37" s="7">
        <v>720</v>
      </c>
      <c r="G37" s="7">
        <v>720</v>
      </c>
      <c r="H37" s="7">
        <v>720</v>
      </c>
      <c r="I37" s="7">
        <v>720</v>
      </c>
      <c r="J37" s="7">
        <v>720</v>
      </c>
      <c r="K37" s="7">
        <v>720</v>
      </c>
      <c r="L37" s="7">
        <v>720</v>
      </c>
      <c r="M37" s="7">
        <v>720</v>
      </c>
      <c r="N37" s="7">
        <v>720</v>
      </c>
      <c r="O37" s="7">
        <v>720</v>
      </c>
      <c r="P37" s="7">
        <v>720</v>
      </c>
      <c r="Q37" s="7">
        <v>720</v>
      </c>
      <c r="R37" s="7">
        <v>720</v>
      </c>
      <c r="S37" s="7">
        <v>720</v>
      </c>
      <c r="T37" s="7">
        <v>720</v>
      </c>
      <c r="U37" s="7">
        <v>720</v>
      </c>
      <c r="V37" s="7">
        <v>720</v>
      </c>
      <c r="W37" s="7">
        <v>720</v>
      </c>
      <c r="X37" s="7">
        <v>720</v>
      </c>
      <c r="Y37" s="7">
        <v>720</v>
      </c>
      <c r="Z37" s="7">
        <v>720</v>
      </c>
      <c r="AA37" s="7">
        <v>720</v>
      </c>
      <c r="AB37" s="7">
        <v>720</v>
      </c>
      <c r="AC37" s="7">
        <v>720</v>
      </c>
      <c r="AD37" s="7">
        <v>720</v>
      </c>
      <c r="AE37" s="7">
        <v>720</v>
      </c>
      <c r="AF37" s="7">
        <v>720</v>
      </c>
      <c r="AG37" s="7">
        <v>720</v>
      </c>
      <c r="AH37" s="7">
        <v>720</v>
      </c>
      <c r="AI37" s="7">
        <v>720</v>
      </c>
      <c r="AJ37" s="7">
        <v>720</v>
      </c>
      <c r="AK37" s="7">
        <v>720</v>
      </c>
      <c r="AL37" s="7">
        <v>720</v>
      </c>
      <c r="AM37" s="7">
        <v>720</v>
      </c>
      <c r="AN37" s="7">
        <v>720</v>
      </c>
      <c r="AO37" s="7">
        <v>720</v>
      </c>
      <c r="AP37" s="7">
        <v>720</v>
      </c>
      <c r="AQ37" s="7">
        <v>720</v>
      </c>
      <c r="AR37" s="7">
        <v>720</v>
      </c>
      <c r="AS37" s="7">
        <v>720</v>
      </c>
      <c r="AT37" s="7">
        <v>720</v>
      </c>
      <c r="AU37" s="7">
        <v>720</v>
      </c>
      <c r="AV37" s="7">
        <v>720</v>
      </c>
      <c r="AW37" s="7">
        <v>720</v>
      </c>
      <c r="AX37" s="7">
        <v>720</v>
      </c>
      <c r="AY37" s="7">
        <v>720</v>
      </c>
      <c r="AZ37" s="7">
        <v>720</v>
      </c>
      <c r="BA37" s="92">
        <v>720</v>
      </c>
      <c r="BB37" s="92">
        <v>720</v>
      </c>
      <c r="BC37" s="92">
        <v>720</v>
      </c>
      <c r="BD37" s="92">
        <v>720</v>
      </c>
      <c r="BE37" s="92">
        <v>720</v>
      </c>
      <c r="BF37" s="92">
        <v>720</v>
      </c>
      <c r="BG37" s="92">
        <v>720</v>
      </c>
      <c r="BH37" s="92">
        <v>720</v>
      </c>
      <c r="BI37" s="92">
        <v>720</v>
      </c>
      <c r="BJ37" s="92">
        <v>720</v>
      </c>
      <c r="BK37" s="92">
        <v>720</v>
      </c>
      <c r="BL37" s="92">
        <v>720</v>
      </c>
      <c r="BM37" s="92">
        <v>720</v>
      </c>
      <c r="BN37" s="92">
        <v>720</v>
      </c>
      <c r="BO37" s="92">
        <v>720</v>
      </c>
      <c r="BP37" s="92">
        <v>720</v>
      </c>
      <c r="BQ37" s="92">
        <v>720</v>
      </c>
      <c r="BR37" s="92">
        <v>720</v>
      </c>
      <c r="BS37" s="92">
        <v>720</v>
      </c>
      <c r="BT37" s="92">
        <v>720</v>
      </c>
      <c r="BU37" s="92">
        <v>720</v>
      </c>
      <c r="BV37" s="92">
        <v>720</v>
      </c>
      <c r="BW37" s="92">
        <v>720</v>
      </c>
      <c r="BX37" s="92">
        <v>720</v>
      </c>
      <c r="BY37" s="92">
        <v>720</v>
      </c>
      <c r="BZ37" s="92">
        <v>720</v>
      </c>
      <c r="CA37" s="92">
        <v>720</v>
      </c>
      <c r="CB37" s="92">
        <v>720</v>
      </c>
      <c r="CC37" s="92">
        <v>720</v>
      </c>
      <c r="CD37" s="92">
        <v>720</v>
      </c>
      <c r="CE37" s="92">
        <v>720</v>
      </c>
      <c r="CF37" s="92">
        <v>720</v>
      </c>
      <c r="CG37" s="92">
        <v>720</v>
      </c>
      <c r="CH37" s="92">
        <v>720</v>
      </c>
      <c r="CI37" s="92">
        <v>720</v>
      </c>
      <c r="CJ37" s="92">
        <v>720</v>
      </c>
      <c r="CK37" s="92">
        <v>6500</v>
      </c>
      <c r="CL37" s="92">
        <v>1500</v>
      </c>
      <c r="CM37" s="92">
        <v>1500</v>
      </c>
      <c r="CN37" s="92">
        <v>1500</v>
      </c>
      <c r="CO37" s="92">
        <v>1500</v>
      </c>
      <c r="CP37" s="92">
        <v>1500</v>
      </c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8">
        <f>1500*3</f>
        <v>4500</v>
      </c>
      <c r="DE37" s="38"/>
      <c r="DF37" s="111">
        <v>5000</v>
      </c>
      <c r="DH37" s="8">
        <f>+SUM(BA37:DC37)</f>
        <v>39920</v>
      </c>
      <c r="DP37" s="9">
        <f t="shared" si="0"/>
        <v>720</v>
      </c>
      <c r="DT37" s="9">
        <v>1500</v>
      </c>
      <c r="FN37" s="7">
        <v>720</v>
      </c>
    </row>
    <row r="38" spans="1:170" s="9" customFormat="1" ht="13.5" x14ac:dyDescent="0.25">
      <c r="A38" s="16">
        <v>12</v>
      </c>
      <c r="B38" s="7" t="s">
        <v>81</v>
      </c>
      <c r="C38" s="8" t="s">
        <v>10</v>
      </c>
      <c r="D38" s="7">
        <v>12</v>
      </c>
      <c r="E38" s="7">
        <v>720</v>
      </c>
      <c r="F38" s="7">
        <v>720</v>
      </c>
      <c r="G38" s="7">
        <v>720</v>
      </c>
      <c r="H38" s="7">
        <v>720</v>
      </c>
      <c r="I38" s="7">
        <v>720</v>
      </c>
      <c r="J38" s="7">
        <v>720</v>
      </c>
      <c r="K38" s="7">
        <v>720</v>
      </c>
      <c r="L38" s="7">
        <v>720</v>
      </c>
      <c r="M38" s="7">
        <v>720</v>
      </c>
      <c r="N38" s="7">
        <v>720</v>
      </c>
      <c r="O38" s="7">
        <v>720</v>
      </c>
      <c r="P38" s="7">
        <v>720</v>
      </c>
      <c r="Q38" s="7">
        <v>720</v>
      </c>
      <c r="R38" s="7">
        <v>720</v>
      </c>
      <c r="S38" s="7">
        <v>720</v>
      </c>
      <c r="T38" s="7">
        <v>720</v>
      </c>
      <c r="U38" s="7">
        <v>720</v>
      </c>
      <c r="V38" s="7">
        <v>720</v>
      </c>
      <c r="W38" s="7">
        <v>720</v>
      </c>
      <c r="X38" s="7">
        <v>720</v>
      </c>
      <c r="Y38" s="7">
        <v>720</v>
      </c>
      <c r="Z38" s="7">
        <v>720</v>
      </c>
      <c r="AA38" s="7">
        <v>720</v>
      </c>
      <c r="AB38" s="7">
        <v>720</v>
      </c>
      <c r="AC38" s="7">
        <v>720</v>
      </c>
      <c r="AD38" s="7">
        <v>720</v>
      </c>
      <c r="AE38" s="7">
        <v>720</v>
      </c>
      <c r="AF38" s="7">
        <v>720</v>
      </c>
      <c r="AG38" s="7">
        <v>720</v>
      </c>
      <c r="AH38" s="7">
        <v>720</v>
      </c>
      <c r="AI38" s="7">
        <v>720</v>
      </c>
      <c r="AJ38" s="7">
        <v>720</v>
      </c>
      <c r="AK38" s="7">
        <v>720</v>
      </c>
      <c r="AL38" s="7">
        <v>720</v>
      </c>
      <c r="AM38" s="7">
        <v>720</v>
      </c>
      <c r="AN38" s="7">
        <v>720</v>
      </c>
      <c r="AO38" s="7">
        <v>720</v>
      </c>
      <c r="AP38" s="7">
        <v>720</v>
      </c>
      <c r="AQ38" s="7">
        <v>720</v>
      </c>
      <c r="AR38" s="7">
        <v>720</v>
      </c>
      <c r="AS38" s="7">
        <v>720</v>
      </c>
      <c r="AT38" s="7">
        <v>720</v>
      </c>
      <c r="AU38" s="7">
        <v>720</v>
      </c>
      <c r="AV38" s="7">
        <v>720</v>
      </c>
      <c r="AW38" s="7">
        <v>720</v>
      </c>
      <c r="AX38" s="7">
        <v>720</v>
      </c>
      <c r="AY38" s="7">
        <v>720</v>
      </c>
      <c r="AZ38" s="7">
        <v>720</v>
      </c>
      <c r="BA38" s="92">
        <v>720</v>
      </c>
      <c r="BB38" s="92">
        <v>720</v>
      </c>
      <c r="BC38" s="92">
        <v>720</v>
      </c>
      <c r="BD38" s="92">
        <v>720</v>
      </c>
      <c r="BE38" s="92">
        <v>720</v>
      </c>
      <c r="BF38" s="92">
        <v>720</v>
      </c>
      <c r="BG38" s="92">
        <v>720</v>
      </c>
      <c r="BH38" s="92">
        <v>720</v>
      </c>
      <c r="BI38" s="92">
        <v>720</v>
      </c>
      <c r="BJ38" s="92">
        <v>720</v>
      </c>
      <c r="BK38" s="92">
        <v>720</v>
      </c>
      <c r="BL38" s="92">
        <v>720</v>
      </c>
      <c r="BM38" s="92">
        <v>720</v>
      </c>
      <c r="BN38" s="92">
        <v>720</v>
      </c>
      <c r="BO38" s="92">
        <v>720</v>
      </c>
      <c r="BP38" s="92">
        <v>720</v>
      </c>
      <c r="BQ38" s="92">
        <v>720</v>
      </c>
      <c r="BR38" s="92">
        <v>720</v>
      </c>
      <c r="BS38" s="92">
        <v>720</v>
      </c>
      <c r="BT38" s="92">
        <v>720</v>
      </c>
      <c r="BU38" s="92">
        <v>720</v>
      </c>
      <c r="BV38" s="92">
        <v>720</v>
      </c>
      <c r="BW38" s="92">
        <v>720</v>
      </c>
      <c r="BX38" s="92">
        <v>720</v>
      </c>
      <c r="BY38" s="92">
        <v>720</v>
      </c>
      <c r="BZ38" s="92">
        <v>720</v>
      </c>
      <c r="CA38" s="92">
        <v>360</v>
      </c>
      <c r="CB38" s="92">
        <v>720</v>
      </c>
      <c r="CC38" s="92">
        <v>720</v>
      </c>
      <c r="CD38" s="92">
        <v>720</v>
      </c>
      <c r="CE38" s="92">
        <v>720</v>
      </c>
      <c r="CF38" s="92">
        <v>720</v>
      </c>
      <c r="CG38" s="92">
        <v>720</v>
      </c>
      <c r="CH38" s="92">
        <v>720</v>
      </c>
      <c r="CI38" s="92">
        <v>720</v>
      </c>
      <c r="CJ38" s="92">
        <v>720</v>
      </c>
      <c r="CK38" s="92">
        <v>720</v>
      </c>
      <c r="CL38" s="92">
        <v>720</v>
      </c>
      <c r="CM38" s="92">
        <v>720</v>
      </c>
      <c r="CN38" s="92">
        <v>1500</v>
      </c>
      <c r="CO38" s="92">
        <f>1500+7340</f>
        <v>8840</v>
      </c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8">
        <f>1500*4</f>
        <v>6000</v>
      </c>
      <c r="DE38" s="38"/>
      <c r="DF38" s="111">
        <v>5000</v>
      </c>
      <c r="DH38" s="8">
        <f>+SUM(BA38:DC38)</f>
        <v>38060</v>
      </c>
      <c r="DP38" s="9">
        <f t="shared" si="0"/>
        <v>720</v>
      </c>
      <c r="DT38" s="9">
        <v>1500</v>
      </c>
      <c r="FN38" s="7">
        <v>720</v>
      </c>
    </row>
    <row r="39" spans="1:170" s="6" customFormat="1" ht="25.5" x14ac:dyDescent="0.25">
      <c r="A39" s="14" t="s">
        <v>0</v>
      </c>
      <c r="B39" s="3" t="s">
        <v>52</v>
      </c>
      <c r="C39" s="4" t="s">
        <v>1</v>
      </c>
      <c r="D39" s="3" t="s">
        <v>2</v>
      </c>
      <c r="E39" s="3" t="s">
        <v>36</v>
      </c>
      <c r="F39" s="5" t="s">
        <v>37</v>
      </c>
      <c r="G39" s="5" t="s">
        <v>38</v>
      </c>
      <c r="H39" s="5" t="s">
        <v>39</v>
      </c>
      <c r="I39" s="5" t="s">
        <v>40</v>
      </c>
      <c r="J39" s="5" t="s">
        <v>41</v>
      </c>
      <c r="K39" s="5" t="s">
        <v>44</v>
      </c>
      <c r="L39" s="5" t="s">
        <v>42</v>
      </c>
      <c r="M39" s="5" t="s">
        <v>45</v>
      </c>
      <c r="N39" s="5" t="s">
        <v>46</v>
      </c>
      <c r="O39" s="5" t="s">
        <v>50</v>
      </c>
      <c r="P39" s="5" t="s">
        <v>48</v>
      </c>
      <c r="Q39" s="5" t="s">
        <v>36</v>
      </c>
      <c r="R39" s="5" t="s">
        <v>37</v>
      </c>
      <c r="S39" s="5" t="s">
        <v>38</v>
      </c>
      <c r="T39" s="5" t="s">
        <v>39</v>
      </c>
      <c r="U39" s="5" t="s">
        <v>40</v>
      </c>
      <c r="V39" s="5" t="s">
        <v>41</v>
      </c>
      <c r="W39" s="5" t="s">
        <v>44</v>
      </c>
      <c r="X39" s="5" t="s">
        <v>42</v>
      </c>
      <c r="Y39" s="5" t="s">
        <v>45</v>
      </c>
      <c r="Z39" s="5" t="s">
        <v>53</v>
      </c>
      <c r="AA39" s="5" t="s">
        <v>50</v>
      </c>
      <c r="AB39" s="5" t="s">
        <v>48</v>
      </c>
      <c r="AC39" s="5" t="s">
        <v>36</v>
      </c>
      <c r="AD39" s="5" t="s">
        <v>37</v>
      </c>
      <c r="AE39" s="5" t="s">
        <v>38</v>
      </c>
      <c r="AF39" s="5" t="s">
        <v>39</v>
      </c>
      <c r="AG39" s="5" t="s">
        <v>40</v>
      </c>
      <c r="AH39" s="5" t="s">
        <v>41</v>
      </c>
      <c r="AI39" s="5" t="s">
        <v>56</v>
      </c>
      <c r="AJ39" s="5" t="s">
        <v>42</v>
      </c>
      <c r="AK39" s="5" t="s">
        <v>57</v>
      </c>
      <c r="AL39" s="5" t="s">
        <v>53</v>
      </c>
      <c r="AM39" s="5" t="s">
        <v>50</v>
      </c>
      <c r="AN39" s="5" t="s">
        <v>48</v>
      </c>
      <c r="AO39" s="5" t="s">
        <v>36</v>
      </c>
      <c r="AP39" s="5" t="s">
        <v>37</v>
      </c>
      <c r="AQ39" s="5" t="s">
        <v>38</v>
      </c>
      <c r="AR39" s="5" t="s">
        <v>39</v>
      </c>
      <c r="AS39" s="5" t="s">
        <v>40</v>
      </c>
      <c r="AT39" s="5" t="s">
        <v>41</v>
      </c>
      <c r="AU39" s="5" t="s">
        <v>101</v>
      </c>
      <c r="AV39" s="5" t="s">
        <v>102</v>
      </c>
      <c r="AW39" s="5" t="s">
        <v>103</v>
      </c>
      <c r="AX39" s="79" t="s">
        <v>104</v>
      </c>
      <c r="AY39" s="79" t="s">
        <v>105</v>
      </c>
      <c r="AZ39" s="79" t="s">
        <v>106</v>
      </c>
      <c r="BA39" s="79" t="s">
        <v>107</v>
      </c>
      <c r="BB39" s="79" t="s">
        <v>108</v>
      </c>
      <c r="BC39" s="79" t="s">
        <v>38</v>
      </c>
      <c r="BD39" s="5" t="s">
        <v>39</v>
      </c>
      <c r="BE39" s="5" t="s">
        <v>40</v>
      </c>
      <c r="BF39" s="5" t="s">
        <v>41</v>
      </c>
      <c r="BG39" s="5" t="s">
        <v>56</v>
      </c>
      <c r="BH39" s="5" t="s">
        <v>42</v>
      </c>
      <c r="BI39" s="5" t="s">
        <v>57</v>
      </c>
      <c r="BJ39" s="5" t="s">
        <v>53</v>
      </c>
      <c r="BK39" s="5" t="s">
        <v>50</v>
      </c>
      <c r="BL39" s="5" t="s">
        <v>136</v>
      </c>
      <c r="BM39" s="5" t="s">
        <v>36</v>
      </c>
      <c r="BN39" s="5" t="s">
        <v>37</v>
      </c>
      <c r="BO39" s="5" t="s">
        <v>38</v>
      </c>
      <c r="BP39" s="5" t="s">
        <v>39</v>
      </c>
      <c r="BQ39" s="5" t="s">
        <v>40</v>
      </c>
      <c r="BR39" s="5" t="s">
        <v>41</v>
      </c>
      <c r="BS39" s="5" t="s">
        <v>56</v>
      </c>
      <c r="BT39" s="5" t="s">
        <v>42</v>
      </c>
      <c r="BU39" s="5" t="s">
        <v>57</v>
      </c>
      <c r="BV39" s="5" t="s">
        <v>53</v>
      </c>
      <c r="BW39" s="5" t="s">
        <v>50</v>
      </c>
      <c r="BX39" s="5" t="s">
        <v>136</v>
      </c>
      <c r="BY39" s="5" t="s">
        <v>36</v>
      </c>
      <c r="BZ39" s="5" t="s">
        <v>37</v>
      </c>
      <c r="CA39" s="5" t="s">
        <v>38</v>
      </c>
      <c r="CB39" s="5" t="s">
        <v>39</v>
      </c>
      <c r="CC39" s="5" t="s">
        <v>40</v>
      </c>
      <c r="CD39" s="5" t="s">
        <v>41</v>
      </c>
      <c r="CE39" s="5" t="s">
        <v>56</v>
      </c>
      <c r="CF39" s="5" t="s">
        <v>42</v>
      </c>
      <c r="CG39" s="5" t="s">
        <v>57</v>
      </c>
      <c r="CH39" s="5" t="s">
        <v>53</v>
      </c>
      <c r="CI39" s="5" t="s">
        <v>50</v>
      </c>
      <c r="CJ39" s="5" t="s">
        <v>136</v>
      </c>
      <c r="CK39" s="5" t="s">
        <v>36</v>
      </c>
      <c r="CL39" s="5" t="s">
        <v>37</v>
      </c>
      <c r="CM39" s="5" t="s">
        <v>38</v>
      </c>
      <c r="CN39" s="5" t="s">
        <v>39</v>
      </c>
      <c r="CO39" s="5" t="s">
        <v>40</v>
      </c>
      <c r="CP39" s="5" t="s">
        <v>41</v>
      </c>
      <c r="CQ39" s="5" t="s">
        <v>56</v>
      </c>
      <c r="CR39" s="5" t="s">
        <v>42</v>
      </c>
      <c r="CS39" s="5" t="s">
        <v>57</v>
      </c>
      <c r="CT39" s="5" t="s">
        <v>53</v>
      </c>
      <c r="CU39" s="5" t="s">
        <v>50</v>
      </c>
      <c r="CV39" s="5" t="s">
        <v>136</v>
      </c>
      <c r="CW39" s="5" t="s">
        <v>36</v>
      </c>
      <c r="CX39" s="5" t="s">
        <v>37</v>
      </c>
      <c r="CY39" s="5" t="s">
        <v>38</v>
      </c>
      <c r="CZ39" s="5" t="s">
        <v>39</v>
      </c>
      <c r="DA39" s="5" t="s">
        <v>40</v>
      </c>
      <c r="DB39" s="5" t="s">
        <v>41</v>
      </c>
      <c r="DC39" s="5" t="s">
        <v>56</v>
      </c>
      <c r="DD39" s="81"/>
      <c r="DE39" s="15"/>
      <c r="DH39" s="81"/>
      <c r="DP39" s="9"/>
      <c r="FN39" s="95"/>
    </row>
    <row r="40" spans="1:170" s="9" customFormat="1" ht="13.5" x14ac:dyDescent="0.25">
      <c r="A40" s="16">
        <v>1</v>
      </c>
      <c r="B40" s="7" t="s">
        <v>11</v>
      </c>
      <c r="C40" s="8" t="s">
        <v>86</v>
      </c>
      <c r="D40" s="7">
        <v>1</v>
      </c>
      <c r="E40" s="7">
        <v>790</v>
      </c>
      <c r="F40" s="7">
        <v>790</v>
      </c>
      <c r="G40" s="7">
        <v>790</v>
      </c>
      <c r="H40" s="7">
        <v>790</v>
      </c>
      <c r="I40" s="7">
        <v>790</v>
      </c>
      <c r="J40" s="7">
        <v>790</v>
      </c>
      <c r="K40" s="7">
        <v>790</v>
      </c>
      <c r="L40" s="7">
        <v>790</v>
      </c>
      <c r="M40" s="7">
        <v>790</v>
      </c>
      <c r="N40" s="7">
        <v>790</v>
      </c>
      <c r="O40" s="7">
        <v>790</v>
      </c>
      <c r="P40" s="7">
        <v>790</v>
      </c>
      <c r="Q40" s="7">
        <v>790</v>
      </c>
      <c r="R40" s="7">
        <v>790</v>
      </c>
      <c r="S40" s="7">
        <v>790</v>
      </c>
      <c r="T40" s="7">
        <v>790</v>
      </c>
      <c r="U40" s="7">
        <v>790</v>
      </c>
      <c r="V40" s="7">
        <v>790</v>
      </c>
      <c r="W40" s="7">
        <v>790</v>
      </c>
      <c r="X40" s="7">
        <v>790</v>
      </c>
      <c r="Y40" s="7">
        <v>790</v>
      </c>
      <c r="Z40" s="7">
        <v>790</v>
      </c>
      <c r="AA40" s="7">
        <v>790</v>
      </c>
      <c r="AB40" s="7">
        <v>790</v>
      </c>
      <c r="AC40" s="7">
        <v>790</v>
      </c>
      <c r="AD40" s="7">
        <v>790</v>
      </c>
      <c r="AE40" s="7">
        <v>790</v>
      </c>
      <c r="AF40" s="7">
        <v>790</v>
      </c>
      <c r="AG40" s="7">
        <v>790</v>
      </c>
      <c r="AH40" s="7">
        <v>790</v>
      </c>
      <c r="AI40" s="7">
        <v>790</v>
      </c>
      <c r="AJ40" s="7">
        <v>790</v>
      </c>
      <c r="AK40" s="7">
        <v>790</v>
      </c>
      <c r="AL40" s="7">
        <v>790</v>
      </c>
      <c r="AM40" s="7">
        <v>790</v>
      </c>
      <c r="AN40" s="7">
        <v>790</v>
      </c>
      <c r="AO40" s="7">
        <v>790</v>
      </c>
      <c r="AP40" s="7">
        <v>790</v>
      </c>
      <c r="AQ40" s="7">
        <v>790</v>
      </c>
      <c r="AR40" s="7">
        <v>790</v>
      </c>
      <c r="AS40" s="7">
        <v>790</v>
      </c>
      <c r="AT40" s="7">
        <v>790</v>
      </c>
      <c r="AU40" s="7">
        <v>790</v>
      </c>
      <c r="AV40" s="92">
        <v>790</v>
      </c>
      <c r="AW40" s="92">
        <v>790</v>
      </c>
      <c r="AX40" s="92">
        <v>790</v>
      </c>
      <c r="AY40" s="92">
        <v>790</v>
      </c>
      <c r="AZ40" s="92">
        <v>790</v>
      </c>
      <c r="BA40" s="92">
        <v>790</v>
      </c>
      <c r="BB40" s="92">
        <v>790</v>
      </c>
      <c r="BC40" s="92">
        <v>790</v>
      </c>
      <c r="BD40" s="92">
        <v>790</v>
      </c>
      <c r="BE40" s="92">
        <v>790</v>
      </c>
      <c r="BF40" s="92">
        <v>790</v>
      </c>
      <c r="BG40" s="92">
        <v>790</v>
      </c>
      <c r="BH40" s="92">
        <v>790</v>
      </c>
      <c r="BI40" s="92">
        <v>790</v>
      </c>
      <c r="BJ40" s="92">
        <v>790</v>
      </c>
      <c r="BK40" s="92">
        <v>790</v>
      </c>
      <c r="BL40" s="92">
        <v>790</v>
      </c>
      <c r="BM40" s="92">
        <v>790</v>
      </c>
      <c r="BN40" s="92">
        <v>790</v>
      </c>
      <c r="BO40" s="92">
        <v>790</v>
      </c>
      <c r="BP40" s="92">
        <v>790</v>
      </c>
      <c r="BQ40" s="92">
        <v>790</v>
      </c>
      <c r="BR40" s="92">
        <v>790</v>
      </c>
      <c r="BS40" s="92">
        <v>790</v>
      </c>
      <c r="BT40" s="92">
        <v>790</v>
      </c>
      <c r="BU40" s="92">
        <v>790</v>
      </c>
      <c r="BV40" s="92">
        <v>790</v>
      </c>
      <c r="BW40" s="92">
        <v>790</v>
      </c>
      <c r="BX40" s="92">
        <v>790</v>
      </c>
      <c r="BY40" s="92">
        <v>790</v>
      </c>
      <c r="BZ40" s="92">
        <v>790</v>
      </c>
      <c r="CA40" s="92">
        <v>790</v>
      </c>
      <c r="CB40" s="92">
        <v>790</v>
      </c>
      <c r="CC40" s="92">
        <v>790</v>
      </c>
      <c r="CD40" s="92">
        <v>790</v>
      </c>
      <c r="CE40" s="92">
        <v>790</v>
      </c>
      <c r="CF40" s="92">
        <v>790</v>
      </c>
      <c r="CG40" s="92">
        <v>790</v>
      </c>
      <c r="CH40" s="92">
        <v>790</v>
      </c>
      <c r="CI40" s="92">
        <v>790</v>
      </c>
      <c r="CJ40" s="92">
        <v>790</v>
      </c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8">
        <f>1650*9</f>
        <v>14850</v>
      </c>
      <c r="DE40" s="17"/>
      <c r="DF40" s="113"/>
      <c r="DH40" s="8">
        <f>+SUM(AV40:DC40)</f>
        <v>32390</v>
      </c>
      <c r="DP40" s="9">
        <f t="shared" si="0"/>
        <v>790</v>
      </c>
      <c r="DT40" s="9">
        <v>1650</v>
      </c>
      <c r="FN40" s="7">
        <v>790</v>
      </c>
    </row>
    <row r="41" spans="1:170" s="9" customFormat="1" ht="13.5" x14ac:dyDescent="0.25">
      <c r="A41" s="16">
        <v>2</v>
      </c>
      <c r="B41" s="7" t="s">
        <v>11</v>
      </c>
      <c r="C41" s="8" t="s">
        <v>173</v>
      </c>
      <c r="D41" s="7">
        <v>2</v>
      </c>
      <c r="E41" s="7">
        <v>790</v>
      </c>
      <c r="F41" s="7">
        <v>790</v>
      </c>
      <c r="G41" s="7">
        <v>790</v>
      </c>
      <c r="H41" s="7">
        <v>790</v>
      </c>
      <c r="I41" s="7">
        <v>790</v>
      </c>
      <c r="J41" s="7">
        <v>790</v>
      </c>
      <c r="K41" s="7">
        <v>790</v>
      </c>
      <c r="L41" s="7">
        <v>790</v>
      </c>
      <c r="M41" s="7">
        <v>790</v>
      </c>
      <c r="N41" s="7">
        <v>790</v>
      </c>
      <c r="O41" s="7">
        <v>790</v>
      </c>
      <c r="P41" s="7">
        <v>790</v>
      </c>
      <c r="Q41" s="7">
        <v>790</v>
      </c>
      <c r="R41" s="7">
        <v>790</v>
      </c>
      <c r="S41" s="7">
        <v>790</v>
      </c>
      <c r="T41" s="7">
        <v>790</v>
      </c>
      <c r="U41" s="7">
        <v>790</v>
      </c>
      <c r="V41" s="7">
        <v>790</v>
      </c>
      <c r="W41" s="7">
        <v>790</v>
      </c>
      <c r="X41" s="7">
        <v>790</v>
      </c>
      <c r="Y41" s="7">
        <v>790</v>
      </c>
      <c r="Z41" s="7">
        <v>790</v>
      </c>
      <c r="AA41" s="7">
        <v>790</v>
      </c>
      <c r="AB41" s="7">
        <v>790</v>
      </c>
      <c r="AC41" s="7">
        <v>790</v>
      </c>
      <c r="AD41" s="7">
        <v>790</v>
      </c>
      <c r="AE41" s="7">
        <v>790</v>
      </c>
      <c r="AF41" s="7">
        <v>790</v>
      </c>
      <c r="AG41" s="7">
        <v>790</v>
      </c>
      <c r="AH41" s="7">
        <v>790</v>
      </c>
      <c r="AI41" s="7">
        <v>790</v>
      </c>
      <c r="AJ41" s="7">
        <v>790</v>
      </c>
      <c r="AK41" s="7">
        <v>790</v>
      </c>
      <c r="AL41" s="7">
        <v>790</v>
      </c>
      <c r="AM41" s="7">
        <v>790</v>
      </c>
      <c r="AN41" s="7">
        <v>790</v>
      </c>
      <c r="AO41" s="7">
        <v>790</v>
      </c>
      <c r="AP41" s="7">
        <v>790</v>
      </c>
      <c r="AQ41" s="7">
        <v>790</v>
      </c>
      <c r="AR41" s="7">
        <v>790</v>
      </c>
      <c r="AS41" s="7">
        <v>790</v>
      </c>
      <c r="AT41" s="7">
        <v>790</v>
      </c>
      <c r="AU41" s="7">
        <v>790</v>
      </c>
      <c r="AV41" s="7">
        <v>790</v>
      </c>
      <c r="AW41" s="7">
        <v>790</v>
      </c>
      <c r="AX41" s="92">
        <v>790</v>
      </c>
      <c r="AY41" s="92">
        <v>790</v>
      </c>
      <c r="AZ41" s="92">
        <v>790</v>
      </c>
      <c r="BA41" s="92">
        <v>790</v>
      </c>
      <c r="BB41" s="92">
        <v>790</v>
      </c>
      <c r="BC41" s="92">
        <v>790</v>
      </c>
      <c r="BD41" s="92">
        <v>790</v>
      </c>
      <c r="BE41" s="92">
        <v>790</v>
      </c>
      <c r="BF41" s="92">
        <v>790</v>
      </c>
      <c r="BG41" s="92">
        <v>790</v>
      </c>
      <c r="BH41" s="92">
        <v>790</v>
      </c>
      <c r="BI41" s="92">
        <v>790</v>
      </c>
      <c r="BJ41" s="92">
        <v>790</v>
      </c>
      <c r="BK41" s="92">
        <v>790</v>
      </c>
      <c r="BL41" s="92">
        <v>790</v>
      </c>
      <c r="BM41" s="92">
        <v>790</v>
      </c>
      <c r="BN41" s="92">
        <v>790</v>
      </c>
      <c r="BO41" s="92">
        <v>790</v>
      </c>
      <c r="BP41" s="92">
        <v>790</v>
      </c>
      <c r="BQ41" s="92">
        <v>790</v>
      </c>
      <c r="BR41" s="92">
        <v>790</v>
      </c>
      <c r="BS41" s="92">
        <v>790</v>
      </c>
      <c r="BT41" s="92">
        <v>790</v>
      </c>
      <c r="BU41" s="92">
        <v>790</v>
      </c>
      <c r="BV41" s="92">
        <v>720</v>
      </c>
      <c r="BW41" s="92">
        <v>720</v>
      </c>
      <c r="BX41" s="92">
        <v>720</v>
      </c>
      <c r="BY41" s="92">
        <v>720</v>
      </c>
      <c r="BZ41" s="92">
        <v>720</v>
      </c>
      <c r="CA41" s="92">
        <v>720</v>
      </c>
      <c r="CB41" s="92">
        <v>720</v>
      </c>
      <c r="CC41" s="92">
        <v>720</v>
      </c>
      <c r="CD41" s="92">
        <v>720</v>
      </c>
      <c r="CE41" s="92">
        <v>720</v>
      </c>
      <c r="CF41" s="92">
        <v>720</v>
      </c>
      <c r="CG41" s="92">
        <v>720</v>
      </c>
      <c r="CH41" s="92">
        <v>720</v>
      </c>
      <c r="CI41" s="92">
        <v>720</v>
      </c>
      <c r="CJ41" s="92">
        <v>5720</v>
      </c>
      <c r="CK41" s="92">
        <v>1500</v>
      </c>
      <c r="CL41" s="92">
        <v>1500</v>
      </c>
      <c r="CM41" s="92">
        <v>1500</v>
      </c>
      <c r="CN41" s="92">
        <v>1500</v>
      </c>
      <c r="CO41" s="92">
        <v>1500</v>
      </c>
      <c r="CP41" s="92">
        <v>1500</v>
      </c>
      <c r="CQ41" s="92">
        <v>1500</v>
      </c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8">
        <f>1500*2</f>
        <v>3000</v>
      </c>
      <c r="DE41" s="38"/>
      <c r="DF41" s="111">
        <v>5000</v>
      </c>
      <c r="DH41" s="8">
        <f>+SUM(AX41:DC41)</f>
        <v>45260</v>
      </c>
      <c r="DP41" s="9">
        <v>720</v>
      </c>
      <c r="DT41" s="9">
        <v>1500</v>
      </c>
      <c r="FN41" s="7">
        <v>790</v>
      </c>
    </row>
    <row r="42" spans="1:170" s="9" customFormat="1" ht="13.5" x14ac:dyDescent="0.25">
      <c r="A42" s="16">
        <v>3</v>
      </c>
      <c r="B42" s="7" t="s">
        <v>11</v>
      </c>
      <c r="C42" s="8" t="s">
        <v>144</v>
      </c>
      <c r="D42" s="7">
        <v>3</v>
      </c>
      <c r="E42" s="7">
        <v>730</v>
      </c>
      <c r="F42" s="7">
        <v>730</v>
      </c>
      <c r="G42" s="7">
        <v>730</v>
      </c>
      <c r="H42" s="7">
        <v>730</v>
      </c>
      <c r="I42" s="7">
        <v>730</v>
      </c>
      <c r="J42" s="7">
        <v>730</v>
      </c>
      <c r="K42" s="7">
        <v>730</v>
      </c>
      <c r="L42" s="7">
        <v>730</v>
      </c>
      <c r="M42" s="7">
        <v>730</v>
      </c>
      <c r="N42" s="7">
        <v>730</v>
      </c>
      <c r="O42" s="7">
        <v>730</v>
      </c>
      <c r="P42" s="7">
        <v>730</v>
      </c>
      <c r="Q42" s="7">
        <v>730</v>
      </c>
      <c r="R42" s="7">
        <v>730</v>
      </c>
      <c r="S42" s="7">
        <v>730</v>
      </c>
      <c r="T42" s="7">
        <v>720</v>
      </c>
      <c r="U42" s="7">
        <v>720</v>
      </c>
      <c r="V42" s="7">
        <v>730</v>
      </c>
      <c r="W42" s="7">
        <v>730</v>
      </c>
      <c r="X42" s="7">
        <v>730</v>
      </c>
      <c r="Y42" s="7">
        <v>730</v>
      </c>
      <c r="Z42" s="7">
        <v>730</v>
      </c>
      <c r="AA42" s="7">
        <v>730</v>
      </c>
      <c r="AB42" s="7">
        <v>730</v>
      </c>
      <c r="AC42" s="7">
        <v>730</v>
      </c>
      <c r="AD42" s="7">
        <v>730</v>
      </c>
      <c r="AE42" s="7">
        <v>730</v>
      </c>
      <c r="AF42" s="7">
        <v>730</v>
      </c>
      <c r="AG42" s="7">
        <v>730</v>
      </c>
      <c r="AH42" s="7">
        <v>730</v>
      </c>
      <c r="AI42" s="7">
        <v>730</v>
      </c>
      <c r="AJ42" s="7">
        <v>730</v>
      </c>
      <c r="AK42" s="7">
        <v>730</v>
      </c>
      <c r="AL42" s="7">
        <v>730</v>
      </c>
      <c r="AM42" s="7">
        <v>730</v>
      </c>
      <c r="AN42" s="7">
        <v>730</v>
      </c>
      <c r="AO42" s="7">
        <v>730</v>
      </c>
      <c r="AP42" s="7">
        <v>730</v>
      </c>
      <c r="AQ42" s="7">
        <v>730</v>
      </c>
      <c r="AR42" s="7">
        <v>730</v>
      </c>
      <c r="AS42" s="7">
        <v>730</v>
      </c>
      <c r="AT42" s="7">
        <v>730</v>
      </c>
      <c r="AU42" s="7">
        <v>730</v>
      </c>
      <c r="AV42" s="7">
        <v>730</v>
      </c>
      <c r="AW42" s="7">
        <v>730</v>
      </c>
      <c r="AX42" s="92">
        <v>730</v>
      </c>
      <c r="AY42" s="92">
        <v>730</v>
      </c>
      <c r="AZ42" s="92">
        <v>730</v>
      </c>
      <c r="BA42" s="92">
        <v>730</v>
      </c>
      <c r="BB42" s="92">
        <v>730</v>
      </c>
      <c r="BC42" s="92">
        <v>730</v>
      </c>
      <c r="BD42" s="92">
        <v>730</v>
      </c>
      <c r="BE42" s="92">
        <v>730</v>
      </c>
      <c r="BF42" s="92">
        <v>730</v>
      </c>
      <c r="BG42" s="92">
        <v>730</v>
      </c>
      <c r="BH42" s="92">
        <v>730</v>
      </c>
      <c r="BI42" s="92">
        <v>730</v>
      </c>
      <c r="BJ42" s="92">
        <v>730</v>
      </c>
      <c r="BK42" s="92">
        <v>730</v>
      </c>
      <c r="BL42" s="92">
        <v>730</v>
      </c>
      <c r="BM42" s="92">
        <v>730</v>
      </c>
      <c r="BN42" s="92">
        <v>730</v>
      </c>
      <c r="BO42" s="92">
        <v>730</v>
      </c>
      <c r="BP42" s="92">
        <v>730</v>
      </c>
      <c r="BQ42" s="92">
        <v>730</v>
      </c>
      <c r="BR42" s="92">
        <v>730</v>
      </c>
      <c r="BS42" s="92">
        <v>730</v>
      </c>
      <c r="BT42" s="92">
        <v>730</v>
      </c>
      <c r="BU42" s="92">
        <v>730</v>
      </c>
      <c r="BV42" s="92">
        <v>730</v>
      </c>
      <c r="BW42" s="92">
        <v>730</v>
      </c>
      <c r="BX42" s="92">
        <v>730</v>
      </c>
      <c r="BY42" s="92">
        <v>730</v>
      </c>
      <c r="BZ42" s="92">
        <v>730</v>
      </c>
      <c r="CA42" s="92">
        <v>730</v>
      </c>
      <c r="CB42" s="92">
        <v>730</v>
      </c>
      <c r="CC42" s="92">
        <v>730</v>
      </c>
      <c r="CD42" s="92">
        <v>730</v>
      </c>
      <c r="CE42" s="92">
        <v>730</v>
      </c>
      <c r="CF42" s="92">
        <v>730</v>
      </c>
      <c r="CG42" s="92">
        <v>730</v>
      </c>
      <c r="CH42" s="92">
        <v>720</v>
      </c>
      <c r="CI42" s="92">
        <v>720</v>
      </c>
      <c r="CJ42" s="92">
        <v>5720</v>
      </c>
      <c r="CK42" s="92">
        <v>1500</v>
      </c>
      <c r="CL42" s="92">
        <v>1500</v>
      </c>
      <c r="CM42" s="92">
        <v>1500</v>
      </c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8">
        <f>1500*6</f>
        <v>9000</v>
      </c>
      <c r="DE42" s="38"/>
      <c r="DF42" s="111">
        <v>5000</v>
      </c>
      <c r="DH42" s="8">
        <f>+SUM(AX42:DC42)</f>
        <v>37940</v>
      </c>
      <c r="DP42" s="9">
        <v>730</v>
      </c>
      <c r="DT42" s="9">
        <v>1500</v>
      </c>
      <c r="FN42" s="7">
        <v>730</v>
      </c>
    </row>
    <row r="43" spans="1:170" s="9" customFormat="1" ht="13.5" x14ac:dyDescent="0.25">
      <c r="A43" s="16">
        <v>4</v>
      </c>
      <c r="B43" s="7" t="s">
        <v>11</v>
      </c>
      <c r="C43" s="8" t="s">
        <v>49</v>
      </c>
      <c r="D43" s="7">
        <v>4</v>
      </c>
      <c r="E43" s="7">
        <v>720</v>
      </c>
      <c r="F43" s="7">
        <v>720</v>
      </c>
      <c r="G43" s="7">
        <v>720</v>
      </c>
      <c r="H43" s="7">
        <v>720</v>
      </c>
      <c r="I43" s="7">
        <v>720</v>
      </c>
      <c r="J43" s="7">
        <v>720</v>
      </c>
      <c r="K43" s="7">
        <v>720</v>
      </c>
      <c r="L43" s="7">
        <v>720</v>
      </c>
      <c r="M43" s="7">
        <v>720</v>
      </c>
      <c r="N43" s="7">
        <v>720</v>
      </c>
      <c r="O43" s="7">
        <v>720</v>
      </c>
      <c r="P43" s="7">
        <v>720</v>
      </c>
      <c r="Q43" s="7">
        <v>720</v>
      </c>
      <c r="R43" s="7">
        <v>720</v>
      </c>
      <c r="S43" s="7">
        <v>720</v>
      </c>
      <c r="T43" s="7">
        <v>720</v>
      </c>
      <c r="U43" s="7">
        <v>720</v>
      </c>
      <c r="V43" s="7">
        <v>720</v>
      </c>
      <c r="W43" s="7">
        <v>720</v>
      </c>
      <c r="X43" s="7">
        <v>720</v>
      </c>
      <c r="Y43" s="7">
        <v>720</v>
      </c>
      <c r="Z43" s="7">
        <v>720</v>
      </c>
      <c r="AA43" s="7">
        <v>720</v>
      </c>
      <c r="AB43" s="7">
        <v>720</v>
      </c>
      <c r="AC43" s="7">
        <v>720</v>
      </c>
      <c r="AD43" s="7">
        <v>720</v>
      </c>
      <c r="AE43" s="7">
        <v>720</v>
      </c>
      <c r="AF43" s="7">
        <v>720</v>
      </c>
      <c r="AG43" s="7">
        <v>720</v>
      </c>
      <c r="AH43" s="7">
        <v>720</v>
      </c>
      <c r="AI43" s="7">
        <v>720</v>
      </c>
      <c r="AJ43" s="7">
        <v>720</v>
      </c>
      <c r="AK43" s="7">
        <v>720</v>
      </c>
      <c r="AL43" s="7">
        <v>720</v>
      </c>
      <c r="AM43" s="7">
        <v>720</v>
      </c>
      <c r="AN43" s="7">
        <v>720</v>
      </c>
      <c r="AO43" s="7">
        <v>720</v>
      </c>
      <c r="AP43" s="7">
        <v>720</v>
      </c>
      <c r="AQ43" s="7">
        <v>720</v>
      </c>
      <c r="AR43" s="92">
        <v>720</v>
      </c>
      <c r="AS43" s="92">
        <v>720</v>
      </c>
      <c r="AT43" s="92">
        <v>720</v>
      </c>
      <c r="AU43" s="92">
        <v>720</v>
      </c>
      <c r="AV43" s="92">
        <v>720</v>
      </c>
      <c r="AW43" s="92">
        <v>720</v>
      </c>
      <c r="AX43" s="92">
        <v>720</v>
      </c>
      <c r="AY43" s="92">
        <v>720</v>
      </c>
      <c r="AZ43" s="92">
        <v>720</v>
      </c>
      <c r="BA43" s="92">
        <v>720</v>
      </c>
      <c r="BB43" s="92">
        <v>720</v>
      </c>
      <c r="BC43" s="92">
        <v>720</v>
      </c>
      <c r="BD43" s="92">
        <v>720</v>
      </c>
      <c r="BE43" s="92">
        <v>720</v>
      </c>
      <c r="BF43" s="92">
        <v>720</v>
      </c>
      <c r="BG43" s="92">
        <v>720</v>
      </c>
      <c r="BH43" s="92">
        <v>720</v>
      </c>
      <c r="BI43" s="92">
        <v>720</v>
      </c>
      <c r="BJ43" s="92">
        <v>720</v>
      </c>
      <c r="BK43" s="92">
        <v>720</v>
      </c>
      <c r="BL43" s="92">
        <v>720</v>
      </c>
      <c r="BM43" s="92">
        <v>720</v>
      </c>
      <c r="BN43" s="92">
        <v>720</v>
      </c>
      <c r="BO43" s="92">
        <v>720</v>
      </c>
      <c r="BP43" s="92">
        <v>720</v>
      </c>
      <c r="BQ43" s="92">
        <v>720</v>
      </c>
      <c r="BR43" s="92">
        <v>720</v>
      </c>
      <c r="BS43" s="92">
        <v>720</v>
      </c>
      <c r="BT43" s="92">
        <v>720</v>
      </c>
      <c r="BU43" s="92">
        <v>720</v>
      </c>
      <c r="BV43" s="92">
        <v>720</v>
      </c>
      <c r="BW43" s="92">
        <v>720</v>
      </c>
      <c r="BX43" s="92">
        <v>720</v>
      </c>
      <c r="BY43" s="92">
        <v>720</v>
      </c>
      <c r="BZ43" s="92">
        <v>720</v>
      </c>
      <c r="CA43" s="92">
        <v>720</v>
      </c>
      <c r="CB43" s="92">
        <v>720</v>
      </c>
      <c r="CC43" s="92">
        <v>720</v>
      </c>
      <c r="CD43" s="92">
        <v>720</v>
      </c>
      <c r="CE43" s="92">
        <v>720</v>
      </c>
      <c r="CF43" s="92">
        <v>720</v>
      </c>
      <c r="CG43" s="92">
        <v>720</v>
      </c>
      <c r="CH43" s="92">
        <v>720</v>
      </c>
      <c r="CI43" s="92">
        <v>5720</v>
      </c>
      <c r="CJ43" s="92">
        <v>720</v>
      </c>
      <c r="CK43" s="92">
        <v>1500</v>
      </c>
      <c r="CL43" s="92">
        <v>1500</v>
      </c>
      <c r="CM43" s="92">
        <v>1500</v>
      </c>
      <c r="CN43" s="92">
        <v>1500</v>
      </c>
      <c r="CO43" s="92">
        <v>1500</v>
      </c>
      <c r="CP43" s="92">
        <v>1500</v>
      </c>
      <c r="CQ43" s="92">
        <v>780</v>
      </c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8">
        <f>720+1500*2</f>
        <v>3720</v>
      </c>
      <c r="DE43" s="38"/>
      <c r="DF43" s="111">
        <v>5000</v>
      </c>
      <c r="DH43" s="8">
        <f>+SUM(AR43:DC43)</f>
        <v>47180</v>
      </c>
      <c r="DP43" s="9">
        <v>720</v>
      </c>
      <c r="DT43" s="9">
        <v>1500</v>
      </c>
      <c r="FN43" s="7">
        <v>720</v>
      </c>
    </row>
    <row r="44" spans="1:170" s="9" customFormat="1" ht="13.5" x14ac:dyDescent="0.25">
      <c r="A44" s="16">
        <v>5</v>
      </c>
      <c r="B44" s="7" t="s">
        <v>11</v>
      </c>
      <c r="C44" s="8" t="s">
        <v>12</v>
      </c>
      <c r="D44" s="7">
        <v>5</v>
      </c>
      <c r="E44" s="7">
        <v>720</v>
      </c>
      <c r="F44" s="7">
        <v>720</v>
      </c>
      <c r="G44" s="7">
        <v>720</v>
      </c>
      <c r="H44" s="7">
        <v>720</v>
      </c>
      <c r="I44" s="7">
        <v>720</v>
      </c>
      <c r="J44" s="7">
        <v>720</v>
      </c>
      <c r="K44" s="7">
        <v>720</v>
      </c>
      <c r="L44" s="7">
        <v>720</v>
      </c>
      <c r="M44" s="7">
        <v>720</v>
      </c>
      <c r="N44" s="7">
        <v>720</v>
      </c>
      <c r="O44" s="7">
        <v>720</v>
      </c>
      <c r="P44" s="7">
        <v>720</v>
      </c>
      <c r="Q44" s="7">
        <v>720</v>
      </c>
      <c r="R44" s="7">
        <v>720</v>
      </c>
      <c r="S44" s="7">
        <v>720</v>
      </c>
      <c r="T44" s="7">
        <v>720</v>
      </c>
      <c r="U44" s="7">
        <v>720</v>
      </c>
      <c r="V44" s="7">
        <v>720</v>
      </c>
      <c r="W44" s="7">
        <v>720</v>
      </c>
      <c r="X44" s="7">
        <v>720</v>
      </c>
      <c r="Y44" s="7">
        <v>720</v>
      </c>
      <c r="Z44" s="7">
        <v>720</v>
      </c>
      <c r="AA44" s="7">
        <v>720</v>
      </c>
      <c r="AB44" s="7">
        <v>720</v>
      </c>
      <c r="AC44" s="92">
        <v>720</v>
      </c>
      <c r="AD44" s="92">
        <v>720</v>
      </c>
      <c r="AE44" s="92">
        <v>720</v>
      </c>
      <c r="AF44" s="92">
        <v>720</v>
      </c>
      <c r="AG44" s="92">
        <v>720</v>
      </c>
      <c r="AH44" s="92">
        <v>720</v>
      </c>
      <c r="AI44" s="92">
        <v>720</v>
      </c>
      <c r="AJ44" s="92">
        <v>720</v>
      </c>
      <c r="AK44" s="92">
        <v>720</v>
      </c>
      <c r="AL44" s="92">
        <v>720</v>
      </c>
      <c r="AM44" s="92">
        <v>720</v>
      </c>
      <c r="AN44" s="92">
        <v>720</v>
      </c>
      <c r="AO44" s="92">
        <v>720</v>
      </c>
      <c r="AP44" s="92">
        <v>720</v>
      </c>
      <c r="AQ44" s="92">
        <v>720</v>
      </c>
      <c r="AR44" s="92">
        <v>720</v>
      </c>
      <c r="AS44" s="7">
        <v>790</v>
      </c>
      <c r="AT44" s="7">
        <v>790</v>
      </c>
      <c r="AU44" s="7">
        <v>790</v>
      </c>
      <c r="AV44" s="7">
        <v>790</v>
      </c>
      <c r="AW44" s="7">
        <v>790</v>
      </c>
      <c r="AX44" s="7">
        <v>790</v>
      </c>
      <c r="AY44" s="7">
        <v>790</v>
      </c>
      <c r="AZ44" s="7">
        <v>790</v>
      </c>
      <c r="BA44" s="7">
        <v>790</v>
      </c>
      <c r="BB44" s="7">
        <v>790</v>
      </c>
      <c r="BC44" s="7">
        <v>790</v>
      </c>
      <c r="BD44" s="92">
        <v>790</v>
      </c>
      <c r="BE44" s="92">
        <v>790</v>
      </c>
      <c r="BF44" s="92">
        <v>790</v>
      </c>
      <c r="BG44" s="92">
        <v>790</v>
      </c>
      <c r="BH44" s="92">
        <v>790</v>
      </c>
      <c r="BI44" s="92">
        <v>790</v>
      </c>
      <c r="BJ44" s="92">
        <v>790</v>
      </c>
      <c r="BK44" s="92">
        <v>790</v>
      </c>
      <c r="BL44" s="92">
        <v>790</v>
      </c>
      <c r="BM44" s="92">
        <v>790</v>
      </c>
      <c r="BN44" s="92">
        <v>790</v>
      </c>
      <c r="BO44" s="92">
        <v>790</v>
      </c>
      <c r="BP44" s="92">
        <v>790</v>
      </c>
      <c r="BQ44" s="92">
        <v>790</v>
      </c>
      <c r="BR44" s="92">
        <v>790</v>
      </c>
      <c r="BS44" s="92">
        <v>790</v>
      </c>
      <c r="BT44" s="92">
        <v>790</v>
      </c>
      <c r="BU44" s="92">
        <v>790</v>
      </c>
      <c r="BV44" s="92">
        <v>790</v>
      </c>
      <c r="BW44" s="92">
        <v>790</v>
      </c>
      <c r="BX44" s="92">
        <v>790</v>
      </c>
      <c r="BY44" s="92">
        <v>790</v>
      </c>
      <c r="BZ44" s="92">
        <v>790</v>
      </c>
      <c r="CA44" s="92">
        <v>790</v>
      </c>
      <c r="CB44" s="92">
        <v>790</v>
      </c>
      <c r="CC44" s="92">
        <v>790</v>
      </c>
      <c r="CD44" s="92">
        <v>790</v>
      </c>
      <c r="CE44" s="92">
        <v>790</v>
      </c>
      <c r="CF44" s="92">
        <v>790</v>
      </c>
      <c r="CG44" s="92">
        <v>790</v>
      </c>
      <c r="CH44" s="92">
        <v>790</v>
      </c>
      <c r="CI44" s="92">
        <v>790</v>
      </c>
      <c r="CJ44" s="92">
        <v>790</v>
      </c>
      <c r="CK44" s="92">
        <v>1650</v>
      </c>
      <c r="CL44" s="92">
        <v>1650</v>
      </c>
      <c r="CM44" s="92">
        <v>1200</v>
      </c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8">
        <f>720+1500*6</f>
        <v>9720</v>
      </c>
      <c r="DE44" s="38"/>
      <c r="DF44" s="113"/>
      <c r="DH44" s="8">
        <f>+SUM(AC44:AR44)+SUM(BD44:DC44)</f>
        <v>42090</v>
      </c>
      <c r="DP44" s="9">
        <f t="shared" si="0"/>
        <v>790</v>
      </c>
      <c r="DT44" s="9">
        <v>1650</v>
      </c>
      <c r="FN44" s="7">
        <v>790</v>
      </c>
    </row>
    <row r="45" spans="1:170" s="9" customFormat="1" ht="13.5" x14ac:dyDescent="0.25">
      <c r="A45" s="16">
        <v>6</v>
      </c>
      <c r="B45" s="7" t="s">
        <v>11</v>
      </c>
      <c r="C45" s="8" t="s">
        <v>13</v>
      </c>
      <c r="D45" s="7">
        <v>6</v>
      </c>
      <c r="E45" s="7">
        <v>720</v>
      </c>
      <c r="F45" s="7">
        <v>720</v>
      </c>
      <c r="G45" s="7">
        <v>720</v>
      </c>
      <c r="H45" s="7">
        <v>720</v>
      </c>
      <c r="I45" s="7">
        <v>720</v>
      </c>
      <c r="J45" s="7">
        <v>720</v>
      </c>
      <c r="K45" s="7">
        <v>720</v>
      </c>
      <c r="L45" s="7">
        <v>720</v>
      </c>
      <c r="M45" s="7">
        <v>720</v>
      </c>
      <c r="N45" s="7">
        <v>720</v>
      </c>
      <c r="O45" s="7">
        <v>720</v>
      </c>
      <c r="P45" s="7">
        <v>720</v>
      </c>
      <c r="Q45" s="7">
        <v>720</v>
      </c>
      <c r="R45" s="7">
        <v>720</v>
      </c>
      <c r="S45" s="7">
        <v>720</v>
      </c>
      <c r="T45" s="7">
        <v>720</v>
      </c>
      <c r="U45" s="7">
        <v>720</v>
      </c>
      <c r="V45" s="7">
        <v>720</v>
      </c>
      <c r="W45" s="7">
        <v>720</v>
      </c>
      <c r="X45" s="7">
        <v>720</v>
      </c>
      <c r="Y45" s="7">
        <v>720</v>
      </c>
      <c r="Z45" s="7">
        <v>720</v>
      </c>
      <c r="AA45" s="7">
        <v>720</v>
      </c>
      <c r="AB45" s="7">
        <v>720</v>
      </c>
      <c r="AC45" s="7">
        <v>720</v>
      </c>
      <c r="AD45" s="7">
        <v>720</v>
      </c>
      <c r="AE45" s="7">
        <v>720</v>
      </c>
      <c r="AF45" s="7">
        <v>720</v>
      </c>
      <c r="AG45" s="7">
        <v>720</v>
      </c>
      <c r="AH45" s="7">
        <v>720</v>
      </c>
      <c r="AI45" s="7">
        <v>720</v>
      </c>
      <c r="AJ45" s="7">
        <v>720</v>
      </c>
      <c r="AK45" s="7">
        <v>720</v>
      </c>
      <c r="AL45" s="7">
        <v>720</v>
      </c>
      <c r="AM45" s="7">
        <v>720</v>
      </c>
      <c r="AN45" s="7">
        <v>720</v>
      </c>
      <c r="AO45" s="7">
        <v>720</v>
      </c>
      <c r="AP45" s="7">
        <v>720</v>
      </c>
      <c r="AQ45" s="7">
        <v>720</v>
      </c>
      <c r="AR45" s="7">
        <v>720</v>
      </c>
      <c r="AS45" s="7">
        <v>720</v>
      </c>
      <c r="AT45" s="7">
        <v>720</v>
      </c>
      <c r="AU45" s="7">
        <v>720</v>
      </c>
      <c r="AV45" s="7">
        <v>720</v>
      </c>
      <c r="AW45" s="7">
        <v>720</v>
      </c>
      <c r="AX45" s="7">
        <v>720</v>
      </c>
      <c r="AY45" s="7">
        <v>720</v>
      </c>
      <c r="AZ45" s="7">
        <v>720</v>
      </c>
      <c r="BA45" s="7">
        <v>720</v>
      </c>
      <c r="BB45" s="7">
        <v>720</v>
      </c>
      <c r="BC45" s="7">
        <v>720</v>
      </c>
      <c r="BD45" s="92">
        <v>720</v>
      </c>
      <c r="BE45" s="92">
        <v>720</v>
      </c>
      <c r="BF45" s="92">
        <v>720</v>
      </c>
      <c r="BG45" s="92">
        <v>720</v>
      </c>
      <c r="BH45" s="92">
        <v>720</v>
      </c>
      <c r="BI45" s="92">
        <v>720</v>
      </c>
      <c r="BJ45" s="92">
        <v>720</v>
      </c>
      <c r="BK45" s="92">
        <v>720</v>
      </c>
      <c r="BL45" s="92">
        <v>720</v>
      </c>
      <c r="BM45" s="92">
        <v>720</v>
      </c>
      <c r="BN45" s="92">
        <v>720</v>
      </c>
      <c r="BO45" s="92">
        <v>720</v>
      </c>
      <c r="BP45" s="92">
        <v>720</v>
      </c>
      <c r="BQ45" s="92">
        <v>720</v>
      </c>
      <c r="BR45" s="92">
        <v>720</v>
      </c>
      <c r="BS45" s="92">
        <v>720</v>
      </c>
      <c r="BT45" s="92">
        <v>720</v>
      </c>
      <c r="BU45" s="92">
        <v>720</v>
      </c>
      <c r="BV45" s="92">
        <v>720</v>
      </c>
      <c r="BW45" s="92">
        <v>720</v>
      </c>
      <c r="BX45" s="92">
        <v>720</v>
      </c>
      <c r="BY45" s="92">
        <v>720</v>
      </c>
      <c r="BZ45" s="92">
        <v>720</v>
      </c>
      <c r="CA45" s="92">
        <v>720</v>
      </c>
      <c r="CB45" s="92">
        <v>720</v>
      </c>
      <c r="CC45" s="92">
        <v>720</v>
      </c>
      <c r="CD45" s="92">
        <v>720</v>
      </c>
      <c r="CE45" s="92">
        <v>720</v>
      </c>
      <c r="CF45" s="92">
        <v>720</v>
      </c>
      <c r="CG45" s="92">
        <v>720</v>
      </c>
      <c r="CH45" s="92">
        <v>720</v>
      </c>
      <c r="CI45" s="92">
        <v>720</v>
      </c>
      <c r="CJ45" s="92">
        <v>720</v>
      </c>
      <c r="CK45" s="92">
        <v>720</v>
      </c>
      <c r="CL45" s="92">
        <v>720</v>
      </c>
      <c r="CM45" s="92">
        <f>5000+330</f>
        <v>5330</v>
      </c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8">
        <f>720*3+1500*7</f>
        <v>12660</v>
      </c>
      <c r="DE45" s="38"/>
      <c r="DF45" s="111">
        <v>5000</v>
      </c>
      <c r="DH45" s="8">
        <f>+SUM(BD45:DC45)</f>
        <v>30530</v>
      </c>
      <c r="DP45" s="9">
        <f t="shared" si="0"/>
        <v>720</v>
      </c>
      <c r="DT45" s="9">
        <v>1500</v>
      </c>
      <c r="FN45" s="7">
        <v>720</v>
      </c>
    </row>
    <row r="46" spans="1:170" s="9" customFormat="1" ht="13.5" x14ac:dyDescent="0.25">
      <c r="A46" s="16">
        <v>7</v>
      </c>
      <c r="B46" s="7" t="s">
        <v>11</v>
      </c>
      <c r="C46" s="8" t="s">
        <v>14</v>
      </c>
      <c r="D46" s="7">
        <v>7</v>
      </c>
      <c r="E46" s="7">
        <v>720</v>
      </c>
      <c r="F46" s="7">
        <v>720</v>
      </c>
      <c r="G46" s="7">
        <v>720</v>
      </c>
      <c r="H46" s="7">
        <v>720</v>
      </c>
      <c r="I46" s="7">
        <v>720</v>
      </c>
      <c r="J46" s="7">
        <v>720</v>
      </c>
      <c r="K46" s="7">
        <v>720</v>
      </c>
      <c r="L46" s="7">
        <v>720</v>
      </c>
      <c r="M46" s="7">
        <v>720</v>
      </c>
      <c r="N46" s="7">
        <v>720</v>
      </c>
      <c r="O46" s="7">
        <v>720</v>
      </c>
      <c r="P46" s="7">
        <v>720</v>
      </c>
      <c r="Q46" s="7">
        <v>720</v>
      </c>
      <c r="R46" s="7">
        <v>720</v>
      </c>
      <c r="S46" s="7">
        <v>720</v>
      </c>
      <c r="T46" s="7">
        <v>720</v>
      </c>
      <c r="U46" s="7">
        <v>720</v>
      </c>
      <c r="V46" s="7">
        <v>720</v>
      </c>
      <c r="W46" s="7">
        <v>720</v>
      </c>
      <c r="X46" s="7">
        <v>720</v>
      </c>
      <c r="Y46" s="7">
        <v>720</v>
      </c>
      <c r="Z46" s="7">
        <v>720</v>
      </c>
      <c r="AA46" s="7">
        <v>720</v>
      </c>
      <c r="AB46" s="7">
        <v>720</v>
      </c>
      <c r="AC46" s="7">
        <v>720</v>
      </c>
      <c r="AD46" s="7">
        <v>720</v>
      </c>
      <c r="AE46" s="7">
        <v>720</v>
      </c>
      <c r="AF46" s="7">
        <v>720</v>
      </c>
      <c r="AG46" s="7">
        <v>720</v>
      </c>
      <c r="AH46" s="7">
        <v>720</v>
      </c>
      <c r="AI46" s="7">
        <v>720</v>
      </c>
      <c r="AJ46" s="7">
        <v>720</v>
      </c>
      <c r="AK46" s="7">
        <v>720</v>
      </c>
      <c r="AL46" s="7">
        <v>720</v>
      </c>
      <c r="AM46" s="7">
        <v>720</v>
      </c>
      <c r="AN46" s="7">
        <v>720</v>
      </c>
      <c r="AO46" s="7">
        <v>720</v>
      </c>
      <c r="AP46" s="92">
        <v>720</v>
      </c>
      <c r="AQ46" s="92">
        <v>720</v>
      </c>
      <c r="AR46" s="92">
        <v>720</v>
      </c>
      <c r="AS46" s="92">
        <v>720</v>
      </c>
      <c r="AT46" s="92">
        <v>720</v>
      </c>
      <c r="AU46" s="92">
        <v>720</v>
      </c>
      <c r="AV46" s="92">
        <v>720</v>
      </c>
      <c r="AW46" s="92">
        <v>720</v>
      </c>
      <c r="AX46" s="92">
        <v>720</v>
      </c>
      <c r="AY46" s="92">
        <v>720</v>
      </c>
      <c r="AZ46" s="92">
        <v>720</v>
      </c>
      <c r="BA46" s="92">
        <v>720</v>
      </c>
      <c r="BB46" s="92">
        <v>720</v>
      </c>
      <c r="BC46" s="92">
        <v>720</v>
      </c>
      <c r="BD46" s="92">
        <v>720</v>
      </c>
      <c r="BE46" s="92">
        <v>720</v>
      </c>
      <c r="BF46" s="92">
        <v>720</v>
      </c>
      <c r="BG46" s="92">
        <v>720</v>
      </c>
      <c r="BH46" s="92">
        <v>720</v>
      </c>
      <c r="BI46" s="92">
        <v>720</v>
      </c>
      <c r="BJ46" s="92">
        <v>720</v>
      </c>
      <c r="BK46" s="92">
        <v>720</v>
      </c>
      <c r="BL46" s="92">
        <v>720</v>
      </c>
      <c r="BM46" s="92">
        <v>720</v>
      </c>
      <c r="BN46" s="92">
        <v>720</v>
      </c>
      <c r="BO46" s="92">
        <v>720</v>
      </c>
      <c r="BP46" s="92">
        <v>720</v>
      </c>
      <c r="BQ46" s="92">
        <v>720</v>
      </c>
      <c r="BR46" s="92">
        <v>720</v>
      </c>
      <c r="BS46" s="92">
        <v>720</v>
      </c>
      <c r="BT46" s="92">
        <v>720</v>
      </c>
      <c r="BU46" s="92">
        <v>720</v>
      </c>
      <c r="BV46" s="92">
        <v>720</v>
      </c>
      <c r="BW46" s="92">
        <v>720</v>
      </c>
      <c r="BX46" s="92">
        <v>720</v>
      </c>
      <c r="BY46" s="92">
        <v>720</v>
      </c>
      <c r="BZ46" s="92">
        <v>720</v>
      </c>
      <c r="CA46" s="92">
        <v>720</v>
      </c>
      <c r="CB46" s="92">
        <v>720</v>
      </c>
      <c r="CC46" s="92">
        <v>720</v>
      </c>
      <c r="CD46" s="92">
        <v>720</v>
      </c>
      <c r="CE46" s="92">
        <v>720</v>
      </c>
      <c r="CF46" s="92">
        <v>720</v>
      </c>
      <c r="CG46" s="92">
        <f>720+907</f>
        <v>1627</v>
      </c>
      <c r="CH46" s="92">
        <v>720</v>
      </c>
      <c r="CI46" s="92">
        <v>720</v>
      </c>
      <c r="CJ46" s="92">
        <v>5720</v>
      </c>
      <c r="CK46" s="92">
        <v>1500</v>
      </c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8">
        <f>1500*8</f>
        <v>12000</v>
      </c>
      <c r="DE46" s="17" t="s">
        <v>113</v>
      </c>
      <c r="DF46" s="111">
        <v>5000</v>
      </c>
      <c r="DH46" s="8">
        <f>+SUM(AP46:DC46)</f>
        <v>41247</v>
      </c>
      <c r="DP46" s="9">
        <f t="shared" si="0"/>
        <v>5720</v>
      </c>
      <c r="DT46" s="9">
        <v>1500</v>
      </c>
      <c r="FN46" s="7">
        <v>720</v>
      </c>
    </row>
    <row r="47" spans="1:170" s="9" customFormat="1" ht="13.5" x14ac:dyDescent="0.25">
      <c r="A47" s="16">
        <v>8</v>
      </c>
      <c r="B47" s="7" t="s">
        <v>11</v>
      </c>
      <c r="C47" s="8" t="s">
        <v>15</v>
      </c>
      <c r="D47" s="7">
        <v>8</v>
      </c>
      <c r="E47" s="7">
        <v>720</v>
      </c>
      <c r="F47" s="7">
        <v>720</v>
      </c>
      <c r="G47" s="7">
        <v>720</v>
      </c>
      <c r="H47" s="7">
        <v>720</v>
      </c>
      <c r="I47" s="7">
        <v>720</v>
      </c>
      <c r="J47" s="7">
        <v>720</v>
      </c>
      <c r="K47" s="7">
        <v>720</v>
      </c>
      <c r="L47" s="7">
        <v>720</v>
      </c>
      <c r="M47" s="7">
        <v>720</v>
      </c>
      <c r="N47" s="7">
        <v>720</v>
      </c>
      <c r="O47" s="7">
        <v>720</v>
      </c>
      <c r="P47" s="7">
        <v>720</v>
      </c>
      <c r="Q47" s="7">
        <v>720</v>
      </c>
      <c r="R47" s="7">
        <v>720</v>
      </c>
      <c r="S47" s="7">
        <v>720</v>
      </c>
      <c r="T47" s="7">
        <v>720</v>
      </c>
      <c r="U47" s="7">
        <v>720</v>
      </c>
      <c r="V47" s="7">
        <v>720</v>
      </c>
      <c r="W47" s="7">
        <v>720</v>
      </c>
      <c r="X47" s="7">
        <v>720</v>
      </c>
      <c r="Y47" s="7">
        <v>720</v>
      </c>
      <c r="Z47" s="7">
        <v>720</v>
      </c>
      <c r="AA47" s="7">
        <v>720</v>
      </c>
      <c r="AB47" s="7">
        <v>720</v>
      </c>
      <c r="AC47" s="7">
        <v>720</v>
      </c>
      <c r="AD47" s="7">
        <v>720</v>
      </c>
      <c r="AE47" s="7">
        <v>720</v>
      </c>
      <c r="AF47" s="7">
        <v>720</v>
      </c>
      <c r="AG47" s="7">
        <v>720</v>
      </c>
      <c r="AH47" s="7">
        <v>720</v>
      </c>
      <c r="AI47" s="7">
        <v>720</v>
      </c>
      <c r="AJ47" s="7">
        <v>720</v>
      </c>
      <c r="AK47" s="7">
        <v>720</v>
      </c>
      <c r="AL47" s="7">
        <v>720</v>
      </c>
      <c r="AM47" s="7">
        <v>720</v>
      </c>
      <c r="AN47" s="7">
        <v>720</v>
      </c>
      <c r="AO47" s="7">
        <v>720</v>
      </c>
      <c r="AP47" s="7">
        <v>720</v>
      </c>
      <c r="AQ47" s="7">
        <v>720</v>
      </c>
      <c r="AR47" s="7">
        <v>720</v>
      </c>
      <c r="AS47" s="7">
        <v>720</v>
      </c>
      <c r="AT47" s="7">
        <v>720</v>
      </c>
      <c r="AU47" s="7">
        <v>720</v>
      </c>
      <c r="AV47" s="7">
        <v>720</v>
      </c>
      <c r="AW47" s="7">
        <v>720</v>
      </c>
      <c r="AX47" s="92">
        <v>720</v>
      </c>
      <c r="AY47" s="92">
        <v>720</v>
      </c>
      <c r="AZ47" s="92">
        <v>720</v>
      </c>
      <c r="BA47" s="92">
        <v>720</v>
      </c>
      <c r="BB47" s="92">
        <v>720</v>
      </c>
      <c r="BC47" s="92">
        <v>720</v>
      </c>
      <c r="BD47" s="92">
        <v>720</v>
      </c>
      <c r="BE47" s="92">
        <v>720</v>
      </c>
      <c r="BF47" s="92">
        <v>720</v>
      </c>
      <c r="BG47" s="92">
        <v>720</v>
      </c>
      <c r="BH47" s="92">
        <v>720</v>
      </c>
      <c r="BI47" s="92">
        <v>720</v>
      </c>
      <c r="BJ47" s="92">
        <v>720</v>
      </c>
      <c r="BK47" s="92">
        <v>720</v>
      </c>
      <c r="BL47" s="92">
        <v>720</v>
      </c>
      <c r="BM47" s="92">
        <v>720</v>
      </c>
      <c r="BN47" s="92">
        <v>720</v>
      </c>
      <c r="BO47" s="92">
        <v>720</v>
      </c>
      <c r="BP47" s="92">
        <v>720</v>
      </c>
      <c r="BQ47" s="92">
        <v>720</v>
      </c>
      <c r="BR47" s="92">
        <v>720</v>
      </c>
      <c r="BS47" s="92">
        <v>720</v>
      </c>
      <c r="BT47" s="92">
        <v>720</v>
      </c>
      <c r="BU47" s="92">
        <v>720</v>
      </c>
      <c r="BV47" s="92">
        <v>720</v>
      </c>
      <c r="BW47" s="92">
        <v>720</v>
      </c>
      <c r="BX47" s="92">
        <v>720</v>
      </c>
      <c r="BY47" s="92">
        <v>720</v>
      </c>
      <c r="BZ47" s="92">
        <v>720</v>
      </c>
      <c r="CA47" s="92">
        <v>720</v>
      </c>
      <c r="CB47" s="92">
        <v>720</v>
      </c>
      <c r="CC47" s="92">
        <v>720</v>
      </c>
      <c r="CD47" s="92">
        <v>720</v>
      </c>
      <c r="CE47" s="92">
        <v>720</v>
      </c>
      <c r="CF47" s="92">
        <v>720</v>
      </c>
      <c r="CG47" s="92">
        <v>720</v>
      </c>
      <c r="CH47" s="92">
        <v>720</v>
      </c>
      <c r="CI47" s="92">
        <v>720</v>
      </c>
      <c r="CJ47" s="92">
        <v>5720</v>
      </c>
      <c r="CK47" s="92">
        <v>1500</v>
      </c>
      <c r="CL47" s="92">
        <v>1500</v>
      </c>
      <c r="CM47" s="92">
        <v>1500</v>
      </c>
      <c r="CN47" s="92">
        <v>1500</v>
      </c>
      <c r="CO47" s="92">
        <v>1500</v>
      </c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8">
        <f>1500*4</f>
        <v>6000</v>
      </c>
      <c r="DE47" s="38"/>
      <c r="DF47" s="111">
        <v>5000</v>
      </c>
      <c r="DH47" s="8">
        <f>+SUM(AX47:DC47)</f>
        <v>40580</v>
      </c>
      <c r="DP47" s="9">
        <f t="shared" si="0"/>
        <v>5720</v>
      </c>
      <c r="DT47" s="9">
        <v>1500</v>
      </c>
      <c r="FN47" s="7">
        <v>720</v>
      </c>
    </row>
    <row r="48" spans="1:170" s="9" customFormat="1" ht="13.5" x14ac:dyDescent="0.25">
      <c r="A48" s="16">
        <v>9</v>
      </c>
      <c r="B48" s="7" t="s">
        <v>11</v>
      </c>
      <c r="C48" s="8" t="s">
        <v>16</v>
      </c>
      <c r="D48" s="7">
        <v>9</v>
      </c>
      <c r="E48" s="7">
        <v>770</v>
      </c>
      <c r="F48" s="7">
        <v>770</v>
      </c>
      <c r="G48" s="7">
        <v>720</v>
      </c>
      <c r="H48" s="7">
        <v>720</v>
      </c>
      <c r="I48" s="7">
        <v>720</v>
      </c>
      <c r="J48" s="7">
        <v>720</v>
      </c>
      <c r="K48" s="7">
        <v>720</v>
      </c>
      <c r="L48" s="7">
        <v>720</v>
      </c>
      <c r="M48" s="7">
        <v>720</v>
      </c>
      <c r="N48" s="7">
        <v>720</v>
      </c>
      <c r="O48" s="7">
        <v>720</v>
      </c>
      <c r="P48" s="7">
        <v>720</v>
      </c>
      <c r="Q48" s="7">
        <v>720</v>
      </c>
      <c r="R48" s="7">
        <v>720</v>
      </c>
      <c r="S48" s="7">
        <v>720</v>
      </c>
      <c r="T48" s="7">
        <v>720</v>
      </c>
      <c r="U48" s="7">
        <v>720</v>
      </c>
      <c r="V48" s="7">
        <v>720</v>
      </c>
      <c r="W48" s="7">
        <v>720</v>
      </c>
      <c r="X48" s="7">
        <v>720</v>
      </c>
      <c r="Y48" s="7">
        <v>720</v>
      </c>
      <c r="Z48" s="7">
        <v>720</v>
      </c>
      <c r="AA48" s="7">
        <v>720</v>
      </c>
      <c r="AB48" s="7">
        <v>720</v>
      </c>
      <c r="AC48" s="7">
        <v>720</v>
      </c>
      <c r="AD48" s="7">
        <v>720</v>
      </c>
      <c r="AE48" s="7">
        <v>720</v>
      </c>
      <c r="AF48" s="7">
        <v>720</v>
      </c>
      <c r="AG48" s="7">
        <v>720</v>
      </c>
      <c r="AH48" s="7">
        <v>720</v>
      </c>
      <c r="AI48" s="7">
        <v>720</v>
      </c>
      <c r="AJ48" s="7">
        <v>720</v>
      </c>
      <c r="AK48" s="7">
        <v>720</v>
      </c>
      <c r="AL48" s="7">
        <v>720</v>
      </c>
      <c r="AM48" s="7">
        <v>720</v>
      </c>
      <c r="AN48" s="7">
        <v>720</v>
      </c>
      <c r="AO48" s="7">
        <v>720</v>
      </c>
      <c r="AP48" s="7">
        <v>720</v>
      </c>
      <c r="AQ48" s="7">
        <v>720</v>
      </c>
      <c r="AR48" s="7">
        <v>720</v>
      </c>
      <c r="AS48" s="7">
        <v>720</v>
      </c>
      <c r="AT48" s="7">
        <v>720</v>
      </c>
      <c r="AU48" s="7">
        <v>720</v>
      </c>
      <c r="AV48" s="7">
        <v>720</v>
      </c>
      <c r="AW48" s="7">
        <v>720</v>
      </c>
      <c r="AX48" s="7">
        <v>720</v>
      </c>
      <c r="AY48" s="7">
        <v>720</v>
      </c>
      <c r="AZ48" s="7">
        <v>720</v>
      </c>
      <c r="BA48" s="7">
        <v>720</v>
      </c>
      <c r="BB48" s="7">
        <v>720</v>
      </c>
      <c r="BC48" s="92">
        <v>720</v>
      </c>
      <c r="BD48" s="92">
        <v>720</v>
      </c>
      <c r="BE48" s="92">
        <v>720</v>
      </c>
      <c r="BF48" s="92">
        <v>720</v>
      </c>
      <c r="BG48" s="92">
        <v>720</v>
      </c>
      <c r="BH48" s="92">
        <v>720</v>
      </c>
      <c r="BI48" s="92">
        <v>720</v>
      </c>
      <c r="BJ48" s="92">
        <v>720</v>
      </c>
      <c r="BK48" s="92">
        <v>720</v>
      </c>
      <c r="BL48" s="92">
        <v>720</v>
      </c>
      <c r="BM48" s="92">
        <v>720</v>
      </c>
      <c r="BN48" s="92">
        <v>720</v>
      </c>
      <c r="BO48" s="92">
        <v>720</v>
      </c>
      <c r="BP48" s="92">
        <v>720</v>
      </c>
      <c r="BQ48" s="92">
        <v>720</v>
      </c>
      <c r="BR48" s="92">
        <v>720</v>
      </c>
      <c r="BS48" s="92">
        <v>720</v>
      </c>
      <c r="BT48" s="92">
        <v>720</v>
      </c>
      <c r="BU48" s="92">
        <v>720</v>
      </c>
      <c r="BV48" s="92">
        <v>720</v>
      </c>
      <c r="BW48" s="92">
        <v>720</v>
      </c>
      <c r="BX48" s="92">
        <v>720</v>
      </c>
      <c r="BY48" s="92">
        <v>720</v>
      </c>
      <c r="BZ48" s="92">
        <v>720</v>
      </c>
      <c r="CA48" s="92">
        <v>720</v>
      </c>
      <c r="CB48" s="92">
        <v>720</v>
      </c>
      <c r="CC48" s="92">
        <v>720</v>
      </c>
      <c r="CD48" s="92">
        <v>720</v>
      </c>
      <c r="CE48" s="92">
        <v>720</v>
      </c>
      <c r="CF48" s="92">
        <v>720</v>
      </c>
      <c r="CG48" s="92">
        <v>720</v>
      </c>
      <c r="CH48" s="92">
        <v>720</v>
      </c>
      <c r="CI48" s="92">
        <v>720</v>
      </c>
      <c r="CJ48" s="92">
        <v>720</v>
      </c>
      <c r="CK48" s="92">
        <f>720*2</f>
        <v>1440</v>
      </c>
      <c r="CL48" s="92">
        <v>6500</v>
      </c>
      <c r="CM48" s="92">
        <v>1500</v>
      </c>
      <c r="CN48" s="92">
        <v>1500</v>
      </c>
      <c r="CO48" s="92">
        <v>1500</v>
      </c>
      <c r="CP48" s="92">
        <v>1500</v>
      </c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8">
        <v>3000</v>
      </c>
      <c r="DE48" s="38"/>
      <c r="DF48" s="111">
        <v>5000</v>
      </c>
      <c r="DH48" s="8">
        <f>+SUM(BC48:DC48)</f>
        <v>38420</v>
      </c>
      <c r="DP48" s="9">
        <f t="shared" si="0"/>
        <v>720</v>
      </c>
      <c r="DT48" s="9">
        <v>1500</v>
      </c>
      <c r="FN48" s="7">
        <v>720</v>
      </c>
    </row>
    <row r="49" spans="1:170" s="9" customFormat="1" ht="13.5" x14ac:dyDescent="0.25">
      <c r="A49" s="16">
        <v>10</v>
      </c>
      <c r="B49" s="7" t="s">
        <v>11</v>
      </c>
      <c r="C49" s="8" t="s">
        <v>17</v>
      </c>
      <c r="D49" s="7">
        <v>10</v>
      </c>
      <c r="E49" s="7">
        <v>790</v>
      </c>
      <c r="F49" s="7">
        <v>790</v>
      </c>
      <c r="G49" s="7">
        <v>790</v>
      </c>
      <c r="H49" s="7">
        <v>790</v>
      </c>
      <c r="I49" s="7">
        <v>790</v>
      </c>
      <c r="J49" s="7">
        <v>790</v>
      </c>
      <c r="K49" s="7">
        <v>790</v>
      </c>
      <c r="L49" s="7">
        <v>790</v>
      </c>
      <c r="M49" s="7">
        <v>790</v>
      </c>
      <c r="N49" s="7">
        <v>790</v>
      </c>
      <c r="O49" s="7">
        <v>790</v>
      </c>
      <c r="P49" s="7">
        <v>790</v>
      </c>
      <c r="Q49" s="7">
        <v>790</v>
      </c>
      <c r="R49" s="7">
        <v>790</v>
      </c>
      <c r="S49" s="7">
        <v>790</v>
      </c>
      <c r="T49" s="7">
        <v>790</v>
      </c>
      <c r="U49" s="7">
        <v>790</v>
      </c>
      <c r="V49" s="7">
        <v>790</v>
      </c>
      <c r="W49" s="7">
        <v>790</v>
      </c>
      <c r="X49" s="7">
        <v>790</v>
      </c>
      <c r="Y49" s="7">
        <v>790</v>
      </c>
      <c r="Z49" s="7">
        <v>790</v>
      </c>
      <c r="AA49" s="7">
        <v>790</v>
      </c>
      <c r="AB49" s="7">
        <v>790</v>
      </c>
      <c r="AC49" s="7">
        <v>790</v>
      </c>
      <c r="AD49" s="7">
        <v>790</v>
      </c>
      <c r="AE49" s="7">
        <v>790</v>
      </c>
      <c r="AF49" s="7">
        <v>790</v>
      </c>
      <c r="AG49" s="7">
        <v>790</v>
      </c>
      <c r="AH49" s="7">
        <v>790</v>
      </c>
      <c r="AI49" s="7">
        <v>790</v>
      </c>
      <c r="AJ49" s="7">
        <v>790</v>
      </c>
      <c r="AK49" s="7">
        <v>790</v>
      </c>
      <c r="AL49" s="7">
        <v>790</v>
      </c>
      <c r="AM49" s="7">
        <v>720</v>
      </c>
      <c r="AN49" s="7">
        <v>720</v>
      </c>
      <c r="AO49" s="7">
        <v>720</v>
      </c>
      <c r="AP49" s="7">
        <v>790</v>
      </c>
      <c r="AQ49" s="7">
        <v>790</v>
      </c>
      <c r="AR49" s="7">
        <v>790</v>
      </c>
      <c r="AS49" s="7">
        <v>790</v>
      </c>
      <c r="AT49" s="7">
        <v>790</v>
      </c>
      <c r="AU49" s="7">
        <v>790</v>
      </c>
      <c r="AV49" s="7">
        <v>790</v>
      </c>
      <c r="AW49" s="7">
        <v>790</v>
      </c>
      <c r="AX49" s="7">
        <v>790</v>
      </c>
      <c r="AY49" s="7">
        <v>790</v>
      </c>
      <c r="AZ49" s="7">
        <v>790</v>
      </c>
      <c r="BA49" s="92">
        <v>790</v>
      </c>
      <c r="BB49" s="92">
        <v>790</v>
      </c>
      <c r="BC49" s="92">
        <v>790</v>
      </c>
      <c r="BD49" s="92">
        <v>790</v>
      </c>
      <c r="BE49" s="92">
        <v>790</v>
      </c>
      <c r="BF49" s="92">
        <v>790</v>
      </c>
      <c r="BG49" s="92">
        <v>790</v>
      </c>
      <c r="BH49" s="92">
        <v>790</v>
      </c>
      <c r="BI49" s="92">
        <v>790</v>
      </c>
      <c r="BJ49" s="92">
        <v>790</v>
      </c>
      <c r="BK49" s="92">
        <v>790</v>
      </c>
      <c r="BL49" s="92">
        <v>790</v>
      </c>
      <c r="BM49" s="92">
        <v>790</v>
      </c>
      <c r="BN49" s="92">
        <v>790</v>
      </c>
      <c r="BO49" s="92">
        <v>790</v>
      </c>
      <c r="BP49" s="92">
        <v>790</v>
      </c>
      <c r="BQ49" s="92">
        <v>790</v>
      </c>
      <c r="BR49" s="92">
        <v>790</v>
      </c>
      <c r="BS49" s="92">
        <v>790</v>
      </c>
      <c r="BT49" s="92">
        <v>790</v>
      </c>
      <c r="BU49" s="92">
        <v>790</v>
      </c>
      <c r="BV49" s="92">
        <v>790</v>
      </c>
      <c r="BW49" s="92">
        <v>790</v>
      </c>
      <c r="BX49" s="92">
        <v>790</v>
      </c>
      <c r="BY49" s="92">
        <v>790</v>
      </c>
      <c r="BZ49" s="92">
        <v>790</v>
      </c>
      <c r="CA49" s="92">
        <v>790</v>
      </c>
      <c r="CB49" s="92">
        <v>790</v>
      </c>
      <c r="CC49" s="92">
        <v>790</v>
      </c>
      <c r="CD49" s="92">
        <v>790</v>
      </c>
      <c r="CE49" s="92">
        <v>790</v>
      </c>
      <c r="CF49" s="92">
        <v>790</v>
      </c>
      <c r="CG49" s="92">
        <v>790</v>
      </c>
      <c r="CH49" s="92">
        <v>790</v>
      </c>
      <c r="CI49" s="92">
        <v>790</v>
      </c>
      <c r="CJ49" s="92">
        <v>5790</v>
      </c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8">
        <f>1500*9</f>
        <v>13500</v>
      </c>
      <c r="DE49" s="38" t="s">
        <v>114</v>
      </c>
      <c r="DF49" s="111">
        <v>5000</v>
      </c>
      <c r="DH49" s="8">
        <f>+SUM(BA49:DC49)</f>
        <v>33440</v>
      </c>
      <c r="DP49" s="9">
        <f t="shared" si="0"/>
        <v>5790</v>
      </c>
      <c r="DT49" s="9">
        <v>1650</v>
      </c>
      <c r="FN49" s="7">
        <v>790</v>
      </c>
    </row>
    <row r="50" spans="1:170" s="9" customFormat="1" ht="13.5" x14ac:dyDescent="0.25">
      <c r="A50" s="16">
        <v>11</v>
      </c>
      <c r="B50" s="7" t="s">
        <v>11</v>
      </c>
      <c r="C50" s="8" t="s">
        <v>18</v>
      </c>
      <c r="D50" s="7">
        <v>11</v>
      </c>
      <c r="E50" s="7">
        <v>720</v>
      </c>
      <c r="F50" s="7">
        <v>720</v>
      </c>
      <c r="G50" s="7">
        <v>720</v>
      </c>
      <c r="H50" s="7">
        <v>720</v>
      </c>
      <c r="I50" s="7">
        <v>720</v>
      </c>
      <c r="J50" s="7">
        <v>720</v>
      </c>
      <c r="K50" s="7">
        <v>720</v>
      </c>
      <c r="L50" s="7">
        <v>720</v>
      </c>
      <c r="M50" s="7">
        <v>720</v>
      </c>
      <c r="N50" s="7">
        <v>720</v>
      </c>
      <c r="O50" s="7">
        <v>720</v>
      </c>
      <c r="P50" s="7">
        <v>720</v>
      </c>
      <c r="Q50" s="7">
        <v>720</v>
      </c>
      <c r="R50" s="7">
        <v>720</v>
      </c>
      <c r="S50" s="7">
        <v>720</v>
      </c>
      <c r="T50" s="7">
        <v>720</v>
      </c>
      <c r="U50" s="7">
        <v>720</v>
      </c>
      <c r="V50" s="7">
        <v>720</v>
      </c>
      <c r="W50" s="7">
        <v>720</v>
      </c>
      <c r="X50" s="7">
        <v>720</v>
      </c>
      <c r="Y50" s="7">
        <v>720</v>
      </c>
      <c r="Z50" s="7">
        <v>720</v>
      </c>
      <c r="AA50" s="7">
        <v>720</v>
      </c>
      <c r="AB50" s="7">
        <v>720</v>
      </c>
      <c r="AC50" s="7">
        <v>720</v>
      </c>
      <c r="AD50" s="7">
        <v>720</v>
      </c>
      <c r="AE50" s="7">
        <v>720</v>
      </c>
      <c r="AF50" s="7">
        <v>720</v>
      </c>
      <c r="AG50" s="7">
        <v>720</v>
      </c>
      <c r="AH50" s="7">
        <v>720</v>
      </c>
      <c r="AI50" s="7">
        <v>720</v>
      </c>
      <c r="AJ50" s="7">
        <v>720</v>
      </c>
      <c r="AK50" s="92">
        <v>720</v>
      </c>
      <c r="AL50" s="92">
        <v>720</v>
      </c>
      <c r="AM50" s="92">
        <v>720</v>
      </c>
      <c r="AN50" s="92">
        <v>720</v>
      </c>
      <c r="AO50" s="92">
        <v>720</v>
      </c>
      <c r="AP50" s="92">
        <v>720</v>
      </c>
      <c r="AQ50" s="92">
        <v>720</v>
      </c>
      <c r="AR50" s="92">
        <v>720</v>
      </c>
      <c r="AS50" s="92">
        <v>720</v>
      </c>
      <c r="AT50" s="92">
        <v>720</v>
      </c>
      <c r="AU50" s="92">
        <v>720</v>
      </c>
      <c r="AV50" s="92">
        <v>720</v>
      </c>
      <c r="AW50" s="92">
        <v>720</v>
      </c>
      <c r="AX50" s="92">
        <v>720</v>
      </c>
      <c r="AY50" s="92">
        <v>720</v>
      </c>
      <c r="AZ50" s="92">
        <v>720</v>
      </c>
      <c r="BA50" s="92">
        <v>720</v>
      </c>
      <c r="BB50" s="92">
        <v>720</v>
      </c>
      <c r="BC50" s="92">
        <v>720</v>
      </c>
      <c r="BD50" s="92">
        <v>720</v>
      </c>
      <c r="BE50" s="92">
        <v>720</v>
      </c>
      <c r="BF50" s="92">
        <v>720</v>
      </c>
      <c r="BG50" s="92">
        <v>720</v>
      </c>
      <c r="BH50" s="92">
        <v>720</v>
      </c>
      <c r="BI50" s="92">
        <v>720</v>
      </c>
      <c r="BJ50" s="92">
        <v>720</v>
      </c>
      <c r="BK50" s="92">
        <v>720</v>
      </c>
      <c r="BL50" s="92">
        <v>720</v>
      </c>
      <c r="BM50" s="92">
        <v>720</v>
      </c>
      <c r="BN50" s="92">
        <v>720</v>
      </c>
      <c r="BO50" s="92">
        <v>720</v>
      </c>
      <c r="BP50" s="92">
        <v>720</v>
      </c>
      <c r="BQ50" s="92">
        <v>720</v>
      </c>
      <c r="BR50" s="92">
        <v>720</v>
      </c>
      <c r="BS50" s="92">
        <v>720</v>
      </c>
      <c r="BT50" s="92">
        <v>720</v>
      </c>
      <c r="BU50" s="92">
        <v>720</v>
      </c>
      <c r="BV50" s="92">
        <v>720</v>
      </c>
      <c r="BW50" s="92">
        <v>720</v>
      </c>
      <c r="BX50" s="92">
        <v>720</v>
      </c>
      <c r="BY50" s="92">
        <v>720</v>
      </c>
      <c r="BZ50" s="92">
        <v>720</v>
      </c>
      <c r="CA50" s="92">
        <v>720</v>
      </c>
      <c r="CB50" s="92">
        <v>720</v>
      </c>
      <c r="CC50" s="92">
        <v>720</v>
      </c>
      <c r="CD50" s="92">
        <v>720</v>
      </c>
      <c r="CE50" s="92">
        <v>720</v>
      </c>
      <c r="CF50" s="92">
        <v>720</v>
      </c>
      <c r="CG50" s="92">
        <v>720</v>
      </c>
      <c r="CH50" s="92">
        <v>720</v>
      </c>
      <c r="CI50" s="92">
        <v>720</v>
      </c>
      <c r="CJ50" s="92">
        <f>2500+720</f>
        <v>3220</v>
      </c>
      <c r="CK50" s="92">
        <v>4000</v>
      </c>
      <c r="CL50" s="92">
        <v>720</v>
      </c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8">
        <f>780+1500*7</f>
        <v>11280</v>
      </c>
      <c r="DE50" s="17" t="s">
        <v>119</v>
      </c>
      <c r="DF50" s="111">
        <v>5000</v>
      </c>
      <c r="DH50" s="8">
        <f>+SUM(AK50:DC50)</f>
        <v>44660</v>
      </c>
      <c r="DP50" s="9">
        <f t="shared" si="0"/>
        <v>3220</v>
      </c>
      <c r="DT50" s="9">
        <v>1500</v>
      </c>
      <c r="FN50" s="7">
        <v>720</v>
      </c>
    </row>
    <row r="51" spans="1:170" s="9" customFormat="1" ht="14.25" thickBot="1" x14ac:dyDescent="0.3">
      <c r="A51" s="28">
        <v>12</v>
      </c>
      <c r="B51" s="29" t="s">
        <v>11</v>
      </c>
      <c r="C51" s="21" t="s">
        <v>19</v>
      </c>
      <c r="D51" s="29">
        <v>12</v>
      </c>
      <c r="E51" s="29">
        <v>720</v>
      </c>
      <c r="F51" s="29">
        <v>720</v>
      </c>
      <c r="G51" s="29">
        <v>720</v>
      </c>
      <c r="H51" s="29">
        <v>720</v>
      </c>
      <c r="I51" s="29">
        <v>720</v>
      </c>
      <c r="J51" s="29">
        <v>720</v>
      </c>
      <c r="K51" s="29">
        <v>720</v>
      </c>
      <c r="L51" s="29">
        <v>720</v>
      </c>
      <c r="M51" s="29">
        <v>720</v>
      </c>
      <c r="N51" s="29">
        <v>720</v>
      </c>
      <c r="O51" s="29">
        <v>720</v>
      </c>
      <c r="P51" s="29">
        <v>720</v>
      </c>
      <c r="Q51" s="29">
        <v>720</v>
      </c>
      <c r="R51" s="29">
        <v>720</v>
      </c>
      <c r="S51" s="29">
        <v>720</v>
      </c>
      <c r="T51" s="29">
        <v>720</v>
      </c>
      <c r="U51" s="29">
        <v>720</v>
      </c>
      <c r="V51" s="29">
        <v>720</v>
      </c>
      <c r="W51" s="29">
        <v>720</v>
      </c>
      <c r="X51" s="29">
        <v>725</v>
      </c>
      <c r="Y51" s="29">
        <v>720</v>
      </c>
      <c r="Z51" s="29">
        <v>720</v>
      </c>
      <c r="AA51" s="29">
        <v>720</v>
      </c>
      <c r="AB51" s="29">
        <v>720</v>
      </c>
      <c r="AC51" s="29">
        <v>720</v>
      </c>
      <c r="AD51" s="29">
        <v>720</v>
      </c>
      <c r="AE51" s="29">
        <v>720</v>
      </c>
      <c r="AF51" s="29">
        <v>720</v>
      </c>
      <c r="AG51" s="29">
        <v>720</v>
      </c>
      <c r="AH51" s="29">
        <v>720</v>
      </c>
      <c r="AI51" s="29">
        <v>720</v>
      </c>
      <c r="AJ51" s="29">
        <v>720</v>
      </c>
      <c r="AK51" s="29">
        <v>720</v>
      </c>
      <c r="AL51" s="29">
        <v>720</v>
      </c>
      <c r="AM51" s="29">
        <v>720</v>
      </c>
      <c r="AN51" s="29">
        <v>720</v>
      </c>
      <c r="AO51" s="29">
        <v>720</v>
      </c>
      <c r="AP51" s="29">
        <v>720</v>
      </c>
      <c r="AQ51" s="29">
        <v>720</v>
      </c>
      <c r="AR51" s="29">
        <v>720</v>
      </c>
      <c r="AS51" s="29">
        <v>720</v>
      </c>
      <c r="AT51" s="29">
        <v>720</v>
      </c>
      <c r="AU51" s="29">
        <v>720</v>
      </c>
      <c r="AV51" s="29">
        <v>720</v>
      </c>
      <c r="AW51" s="29">
        <v>720</v>
      </c>
      <c r="AX51" s="29">
        <v>720</v>
      </c>
      <c r="AY51" s="92">
        <v>720</v>
      </c>
      <c r="AZ51" s="92">
        <v>720</v>
      </c>
      <c r="BA51" s="92">
        <v>720</v>
      </c>
      <c r="BB51" s="92">
        <v>720</v>
      </c>
      <c r="BC51" s="92">
        <v>720</v>
      </c>
      <c r="BD51" s="92">
        <v>720</v>
      </c>
      <c r="BE51" s="92">
        <v>720</v>
      </c>
      <c r="BF51" s="92">
        <v>720</v>
      </c>
      <c r="BG51" s="92">
        <v>720</v>
      </c>
      <c r="BH51" s="92">
        <v>1020</v>
      </c>
      <c r="BI51" s="92">
        <v>720</v>
      </c>
      <c r="BJ51" s="92">
        <v>720</v>
      </c>
      <c r="BK51" s="92">
        <v>720</v>
      </c>
      <c r="BL51" s="92">
        <f>720+350</f>
        <v>1070</v>
      </c>
      <c r="BM51" s="92">
        <v>720</v>
      </c>
      <c r="BN51" s="92">
        <v>720</v>
      </c>
      <c r="BO51" s="92">
        <v>720</v>
      </c>
      <c r="BP51" s="92">
        <v>720</v>
      </c>
      <c r="BQ51" s="92">
        <v>720</v>
      </c>
      <c r="BR51" s="92">
        <v>720</v>
      </c>
      <c r="BS51" s="92">
        <v>720</v>
      </c>
      <c r="BT51" s="92">
        <v>720</v>
      </c>
      <c r="BU51" s="92">
        <v>720</v>
      </c>
      <c r="BV51" s="92">
        <v>720</v>
      </c>
      <c r="BW51" s="92">
        <v>720</v>
      </c>
      <c r="BX51" s="92">
        <v>720</v>
      </c>
      <c r="BY51" s="92">
        <v>720</v>
      </c>
      <c r="BZ51" s="92">
        <v>720</v>
      </c>
      <c r="CA51" s="92">
        <v>720</v>
      </c>
      <c r="CB51" s="92">
        <v>720</v>
      </c>
      <c r="CC51" s="92">
        <v>720</v>
      </c>
      <c r="CD51" s="92">
        <v>720</v>
      </c>
      <c r="CE51" s="92">
        <v>720</v>
      </c>
      <c r="CF51" s="92">
        <v>720</v>
      </c>
      <c r="CG51" s="92">
        <v>720</v>
      </c>
      <c r="CH51" s="92">
        <v>720</v>
      </c>
      <c r="CI51" s="92">
        <v>720</v>
      </c>
      <c r="CJ51" s="92">
        <v>1778</v>
      </c>
      <c r="CK51" s="92">
        <v>1500</v>
      </c>
      <c r="CL51" s="92">
        <v>1500</v>
      </c>
      <c r="CM51" s="92">
        <v>1500</v>
      </c>
      <c r="CN51" s="92">
        <v>1500</v>
      </c>
      <c r="CO51" s="92">
        <v>6500</v>
      </c>
      <c r="CP51" s="92">
        <v>1500</v>
      </c>
      <c r="CQ51" s="92">
        <v>1500</v>
      </c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8">
        <f>1500*2</f>
        <v>3000</v>
      </c>
      <c r="DE51" s="39"/>
      <c r="DF51" s="111">
        <v>5000</v>
      </c>
      <c r="DH51" s="8">
        <f>+SUM(AY51:DC51)</f>
        <v>44568</v>
      </c>
      <c r="DP51" s="9">
        <v>720</v>
      </c>
      <c r="DT51" s="9">
        <v>1500</v>
      </c>
      <c r="FN51" s="7">
        <v>720</v>
      </c>
    </row>
    <row r="52" spans="1:170" s="6" customFormat="1" ht="25.5" x14ac:dyDescent="0.25">
      <c r="A52" s="30" t="s">
        <v>0</v>
      </c>
      <c r="B52" s="31" t="s">
        <v>52</v>
      </c>
      <c r="C52" s="32" t="s">
        <v>1</v>
      </c>
      <c r="D52" s="31" t="s">
        <v>2</v>
      </c>
      <c r="E52" s="31" t="s">
        <v>36</v>
      </c>
      <c r="F52" s="33" t="s">
        <v>37</v>
      </c>
      <c r="G52" s="33" t="s">
        <v>38</v>
      </c>
      <c r="H52" s="33" t="s">
        <v>39</v>
      </c>
      <c r="I52" s="33" t="s">
        <v>40</v>
      </c>
      <c r="J52" s="33" t="s">
        <v>41</v>
      </c>
      <c r="K52" s="33" t="s">
        <v>44</v>
      </c>
      <c r="L52" s="33" t="s">
        <v>42</v>
      </c>
      <c r="M52" s="33" t="s">
        <v>45</v>
      </c>
      <c r="N52" s="33" t="s">
        <v>46</v>
      </c>
      <c r="O52" s="33" t="s">
        <v>50</v>
      </c>
      <c r="P52" s="33" t="s">
        <v>48</v>
      </c>
      <c r="Q52" s="33" t="s">
        <v>36</v>
      </c>
      <c r="R52" s="33" t="s">
        <v>37</v>
      </c>
      <c r="S52" s="33" t="s">
        <v>38</v>
      </c>
      <c r="T52" s="33" t="s">
        <v>39</v>
      </c>
      <c r="U52" s="33" t="s">
        <v>40</v>
      </c>
      <c r="V52" s="33" t="s">
        <v>41</v>
      </c>
      <c r="W52" s="33" t="s">
        <v>44</v>
      </c>
      <c r="X52" s="33" t="s">
        <v>42</v>
      </c>
      <c r="Y52" s="33" t="s">
        <v>45</v>
      </c>
      <c r="Z52" s="33" t="s">
        <v>53</v>
      </c>
      <c r="AA52" s="33" t="s">
        <v>50</v>
      </c>
      <c r="AB52" s="33" t="s">
        <v>48</v>
      </c>
      <c r="AC52" s="33" t="s">
        <v>36</v>
      </c>
      <c r="AD52" s="33" t="s">
        <v>37</v>
      </c>
      <c r="AE52" s="33" t="s">
        <v>38</v>
      </c>
      <c r="AF52" s="5" t="s">
        <v>39</v>
      </c>
      <c r="AG52" s="5" t="s">
        <v>40</v>
      </c>
      <c r="AH52" s="5" t="s">
        <v>41</v>
      </c>
      <c r="AI52" s="5" t="s">
        <v>56</v>
      </c>
      <c r="AJ52" s="5" t="s">
        <v>42</v>
      </c>
      <c r="AK52" s="5" t="s">
        <v>57</v>
      </c>
      <c r="AL52" s="5" t="s">
        <v>53</v>
      </c>
      <c r="AM52" s="5" t="s">
        <v>50</v>
      </c>
      <c r="AN52" s="5" t="s">
        <v>48</v>
      </c>
      <c r="AO52" s="5" t="s">
        <v>36</v>
      </c>
      <c r="AP52" s="5" t="s">
        <v>37</v>
      </c>
      <c r="AQ52" s="5" t="s">
        <v>38</v>
      </c>
      <c r="AR52" s="5" t="s">
        <v>39</v>
      </c>
      <c r="AS52" s="5" t="s">
        <v>40</v>
      </c>
      <c r="AT52" s="5" t="s">
        <v>41</v>
      </c>
      <c r="AU52" s="78" t="s">
        <v>101</v>
      </c>
      <c r="AV52" s="78" t="s">
        <v>102</v>
      </c>
      <c r="AW52" s="78" t="s">
        <v>103</v>
      </c>
      <c r="AX52" s="79" t="s">
        <v>104</v>
      </c>
      <c r="AY52" s="79" t="s">
        <v>105</v>
      </c>
      <c r="AZ52" s="79" t="s">
        <v>106</v>
      </c>
      <c r="BA52" s="79" t="s">
        <v>107</v>
      </c>
      <c r="BB52" s="79" t="s">
        <v>108</v>
      </c>
      <c r="BC52" s="79" t="s">
        <v>38</v>
      </c>
      <c r="BD52" s="5" t="s">
        <v>39</v>
      </c>
      <c r="BE52" s="5" t="s">
        <v>40</v>
      </c>
      <c r="BF52" s="5" t="s">
        <v>41</v>
      </c>
      <c r="BG52" s="5" t="s">
        <v>56</v>
      </c>
      <c r="BH52" s="5" t="s">
        <v>42</v>
      </c>
      <c r="BI52" s="5" t="s">
        <v>57</v>
      </c>
      <c r="BJ52" s="5" t="s">
        <v>53</v>
      </c>
      <c r="BK52" s="5" t="s">
        <v>50</v>
      </c>
      <c r="BL52" s="5" t="s">
        <v>136</v>
      </c>
      <c r="BM52" s="5" t="s">
        <v>36</v>
      </c>
      <c r="BN52" s="5" t="s">
        <v>37</v>
      </c>
      <c r="BO52" s="5" t="s">
        <v>38</v>
      </c>
      <c r="BP52" s="5" t="s">
        <v>39</v>
      </c>
      <c r="BQ52" s="5" t="s">
        <v>40</v>
      </c>
      <c r="BR52" s="5" t="s">
        <v>41</v>
      </c>
      <c r="BS52" s="5" t="s">
        <v>56</v>
      </c>
      <c r="BT52" s="5" t="s">
        <v>42</v>
      </c>
      <c r="BU52" s="5" t="s">
        <v>57</v>
      </c>
      <c r="BV52" s="5" t="s">
        <v>53</v>
      </c>
      <c r="BW52" s="5" t="s">
        <v>50</v>
      </c>
      <c r="BX52" s="5" t="s">
        <v>136</v>
      </c>
      <c r="BY52" s="5" t="s">
        <v>36</v>
      </c>
      <c r="BZ52" s="5" t="s">
        <v>37</v>
      </c>
      <c r="CA52" s="5" t="s">
        <v>38</v>
      </c>
      <c r="CB52" s="5" t="s">
        <v>39</v>
      </c>
      <c r="CC52" s="5" t="s">
        <v>40</v>
      </c>
      <c r="CD52" s="5" t="s">
        <v>41</v>
      </c>
      <c r="CE52" s="5" t="s">
        <v>56</v>
      </c>
      <c r="CF52" s="5" t="s">
        <v>42</v>
      </c>
      <c r="CG52" s="5" t="s">
        <v>57</v>
      </c>
      <c r="CH52" s="5" t="s">
        <v>53</v>
      </c>
      <c r="CI52" s="5" t="s">
        <v>50</v>
      </c>
      <c r="CJ52" s="5" t="s">
        <v>136</v>
      </c>
      <c r="CK52" s="5" t="s">
        <v>36</v>
      </c>
      <c r="CL52" s="5" t="s">
        <v>37</v>
      </c>
      <c r="CM52" s="5" t="s">
        <v>38</v>
      </c>
      <c r="CN52" s="5" t="s">
        <v>39</v>
      </c>
      <c r="CO52" s="5" t="s">
        <v>40</v>
      </c>
      <c r="CP52" s="5" t="s">
        <v>41</v>
      </c>
      <c r="CQ52" s="5" t="s">
        <v>56</v>
      </c>
      <c r="CR52" s="5" t="s">
        <v>42</v>
      </c>
      <c r="CS52" s="5" t="s">
        <v>57</v>
      </c>
      <c r="CT52" s="5" t="s">
        <v>53</v>
      </c>
      <c r="CU52" s="5" t="s">
        <v>50</v>
      </c>
      <c r="CV52" s="5" t="s">
        <v>136</v>
      </c>
      <c r="CW52" s="5" t="s">
        <v>36</v>
      </c>
      <c r="CX52" s="5" t="s">
        <v>37</v>
      </c>
      <c r="CY52" s="5" t="s">
        <v>38</v>
      </c>
      <c r="CZ52" s="5" t="s">
        <v>39</v>
      </c>
      <c r="DA52" s="5" t="s">
        <v>40</v>
      </c>
      <c r="DB52" s="5" t="s">
        <v>41</v>
      </c>
      <c r="DC52" s="5" t="s">
        <v>56</v>
      </c>
      <c r="DD52" s="81"/>
      <c r="DE52" s="34"/>
      <c r="DH52" s="81"/>
      <c r="DP52" s="9"/>
      <c r="FN52" s="95"/>
    </row>
    <row r="53" spans="1:170" s="9" customFormat="1" ht="13.5" x14ac:dyDescent="0.25">
      <c r="A53" s="16">
        <v>1</v>
      </c>
      <c r="B53" s="7" t="s">
        <v>63</v>
      </c>
      <c r="C53" s="8" t="s">
        <v>20</v>
      </c>
      <c r="D53" s="7">
        <v>1</v>
      </c>
      <c r="E53" s="7">
        <v>790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92">
        <v>790</v>
      </c>
      <c r="BB53" s="92">
        <v>790</v>
      </c>
      <c r="BC53" s="92">
        <v>790</v>
      </c>
      <c r="BD53" s="92">
        <v>790</v>
      </c>
      <c r="BE53" s="92">
        <v>790</v>
      </c>
      <c r="BF53" s="92">
        <v>790</v>
      </c>
      <c r="BG53" s="92">
        <v>790</v>
      </c>
      <c r="BH53" s="92">
        <v>790</v>
      </c>
      <c r="BI53" s="92">
        <v>790</v>
      </c>
      <c r="BJ53" s="92">
        <v>790</v>
      </c>
      <c r="BK53" s="92">
        <v>790</v>
      </c>
      <c r="BL53" s="92">
        <v>790</v>
      </c>
      <c r="BM53" s="92">
        <v>790</v>
      </c>
      <c r="BN53" s="92">
        <v>790</v>
      </c>
      <c r="BO53" s="92">
        <v>790</v>
      </c>
      <c r="BP53" s="92">
        <v>790</v>
      </c>
      <c r="BQ53" s="92">
        <v>790</v>
      </c>
      <c r="BR53" s="92">
        <v>790</v>
      </c>
      <c r="BS53" s="92">
        <v>790</v>
      </c>
      <c r="BT53" s="92">
        <v>790</v>
      </c>
      <c r="BU53" s="92">
        <v>790</v>
      </c>
      <c r="BV53" s="92">
        <v>790</v>
      </c>
      <c r="BW53" s="92">
        <v>790</v>
      </c>
      <c r="BX53" s="92">
        <v>870</v>
      </c>
      <c r="BY53" s="92">
        <v>870</v>
      </c>
      <c r="BZ53" s="92">
        <v>870</v>
      </c>
      <c r="CA53" s="92">
        <v>870</v>
      </c>
      <c r="CB53" s="92">
        <v>870</v>
      </c>
      <c r="CC53" s="92">
        <v>870</v>
      </c>
      <c r="CD53" s="92">
        <v>870</v>
      </c>
      <c r="CE53" s="92">
        <v>870</v>
      </c>
      <c r="CF53" s="92">
        <v>870</v>
      </c>
      <c r="CG53" s="92">
        <v>870</v>
      </c>
      <c r="CH53" s="92">
        <v>870</v>
      </c>
      <c r="CI53" s="92">
        <v>870</v>
      </c>
      <c r="CJ53" s="92">
        <v>870</v>
      </c>
      <c r="CK53" s="92">
        <v>6760</v>
      </c>
      <c r="CL53" s="92">
        <v>1760</v>
      </c>
      <c r="CM53" s="92">
        <v>1760</v>
      </c>
      <c r="CN53" s="92">
        <v>1760</v>
      </c>
      <c r="CO53" s="92">
        <v>1760</v>
      </c>
      <c r="CP53" s="92">
        <v>1760</v>
      </c>
      <c r="CQ53" s="92">
        <v>1760</v>
      </c>
      <c r="CR53" s="92">
        <v>1760</v>
      </c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8">
        <v>1760</v>
      </c>
      <c r="DE53" s="17"/>
      <c r="DF53" s="111">
        <v>5000</v>
      </c>
      <c r="DH53" s="8">
        <f>+SUM(BA53:DC53)</f>
        <v>48560</v>
      </c>
      <c r="DP53" s="9">
        <f t="shared" si="0"/>
        <v>870</v>
      </c>
      <c r="DT53" s="9">
        <v>1760</v>
      </c>
      <c r="FN53" s="7">
        <v>790</v>
      </c>
    </row>
    <row r="54" spans="1:170" s="9" customFormat="1" ht="13.5" x14ac:dyDescent="0.25">
      <c r="A54" s="16">
        <v>2</v>
      </c>
      <c r="B54" s="7" t="s">
        <v>63</v>
      </c>
      <c r="C54" s="8" t="s">
        <v>65</v>
      </c>
      <c r="D54" s="7">
        <v>2</v>
      </c>
      <c r="E54" s="7">
        <v>935</v>
      </c>
      <c r="F54" s="7">
        <v>935</v>
      </c>
      <c r="G54" s="7">
        <v>935</v>
      </c>
      <c r="H54" s="7">
        <v>935</v>
      </c>
      <c r="I54" s="7">
        <v>935</v>
      </c>
      <c r="J54" s="7">
        <v>935</v>
      </c>
      <c r="K54" s="7">
        <v>935</v>
      </c>
      <c r="L54" s="7">
        <v>935</v>
      </c>
      <c r="M54" s="7">
        <v>935</v>
      </c>
      <c r="N54" s="7">
        <v>935</v>
      </c>
      <c r="O54" s="7">
        <v>935</v>
      </c>
      <c r="P54" s="7">
        <v>935</v>
      </c>
      <c r="Q54" s="7">
        <v>935</v>
      </c>
      <c r="R54" s="7">
        <v>935</v>
      </c>
      <c r="S54" s="7">
        <v>935</v>
      </c>
      <c r="T54" s="7">
        <v>935</v>
      </c>
      <c r="U54" s="7">
        <v>935</v>
      </c>
      <c r="V54" s="7">
        <v>935</v>
      </c>
      <c r="W54" s="7">
        <v>935</v>
      </c>
      <c r="X54" s="7">
        <v>935</v>
      </c>
      <c r="Y54" s="7">
        <v>935</v>
      </c>
      <c r="Z54" s="7">
        <v>935</v>
      </c>
      <c r="AA54" s="7">
        <v>935</v>
      </c>
      <c r="AB54" s="7">
        <v>935</v>
      </c>
      <c r="AC54" s="7">
        <v>935</v>
      </c>
      <c r="AD54" s="7">
        <v>935</v>
      </c>
      <c r="AE54" s="7">
        <v>935</v>
      </c>
      <c r="AF54" s="7">
        <v>935</v>
      </c>
      <c r="AG54" s="7">
        <v>935</v>
      </c>
      <c r="AH54" s="7">
        <v>935</v>
      </c>
      <c r="AI54" s="7">
        <v>935</v>
      </c>
      <c r="AJ54" s="7">
        <v>935</v>
      </c>
      <c r="AK54" s="7">
        <v>935</v>
      </c>
      <c r="AL54" s="7">
        <v>935</v>
      </c>
      <c r="AM54" s="7">
        <v>935</v>
      </c>
      <c r="AN54" s="7">
        <v>935</v>
      </c>
      <c r="AO54" s="7">
        <v>935</v>
      </c>
      <c r="AP54" s="7">
        <v>935</v>
      </c>
      <c r="AQ54" s="7">
        <v>935</v>
      </c>
      <c r="AR54" s="7">
        <v>935</v>
      </c>
      <c r="AS54" s="7">
        <v>935</v>
      </c>
      <c r="AT54" s="7">
        <v>935</v>
      </c>
      <c r="AU54" s="7">
        <v>935</v>
      </c>
      <c r="AV54" s="7">
        <v>935</v>
      </c>
      <c r="AW54" s="92">
        <v>935</v>
      </c>
      <c r="AX54" s="92">
        <v>935</v>
      </c>
      <c r="AY54" s="92">
        <v>935</v>
      </c>
      <c r="AZ54" s="92">
        <v>935</v>
      </c>
      <c r="BA54" s="92">
        <v>935</v>
      </c>
      <c r="BB54" s="92">
        <v>935</v>
      </c>
      <c r="BC54" s="92">
        <v>935</v>
      </c>
      <c r="BD54" s="92">
        <v>935</v>
      </c>
      <c r="BE54" s="92">
        <v>935</v>
      </c>
      <c r="BF54" s="92">
        <v>935</v>
      </c>
      <c r="BG54" s="92">
        <v>935</v>
      </c>
      <c r="BH54" s="92">
        <v>935</v>
      </c>
      <c r="BI54" s="92">
        <v>935</v>
      </c>
      <c r="BJ54" s="92">
        <v>935</v>
      </c>
      <c r="BK54" s="92">
        <v>935</v>
      </c>
      <c r="BL54" s="92">
        <v>935</v>
      </c>
      <c r="BM54" s="92">
        <v>935</v>
      </c>
      <c r="BN54" s="92">
        <v>935</v>
      </c>
      <c r="BO54" s="92">
        <v>935</v>
      </c>
      <c r="BP54" s="92">
        <v>935</v>
      </c>
      <c r="BQ54" s="92">
        <v>935</v>
      </c>
      <c r="BR54" s="92">
        <v>935</v>
      </c>
      <c r="BS54" s="92">
        <v>935</v>
      </c>
      <c r="BT54" s="92">
        <v>935</v>
      </c>
      <c r="BU54" s="92">
        <v>935</v>
      </c>
      <c r="BV54" s="92">
        <v>935</v>
      </c>
      <c r="BW54" s="92">
        <v>935</v>
      </c>
      <c r="BX54" s="92">
        <v>935</v>
      </c>
      <c r="BY54" s="92">
        <v>935</v>
      </c>
      <c r="BZ54" s="92">
        <v>935</v>
      </c>
      <c r="CA54" s="92">
        <v>935</v>
      </c>
      <c r="CB54" s="92">
        <v>935</v>
      </c>
      <c r="CC54" s="92">
        <v>935</v>
      </c>
      <c r="CD54" s="92">
        <v>935</v>
      </c>
      <c r="CE54" s="92">
        <v>935</v>
      </c>
      <c r="CF54" s="92">
        <v>935</v>
      </c>
      <c r="CG54" s="92">
        <v>935</v>
      </c>
      <c r="CH54" s="92">
        <v>935</v>
      </c>
      <c r="CI54" s="92">
        <v>935</v>
      </c>
      <c r="CJ54" s="92">
        <v>6237</v>
      </c>
      <c r="CK54" s="92">
        <v>1600</v>
      </c>
      <c r="CL54" s="92">
        <v>1600</v>
      </c>
      <c r="CM54" s="92">
        <v>1600</v>
      </c>
      <c r="CN54" s="92">
        <v>1600</v>
      </c>
      <c r="CO54" s="92">
        <v>1600</v>
      </c>
      <c r="CP54" s="92">
        <v>1600</v>
      </c>
      <c r="CQ54" s="92">
        <v>1600</v>
      </c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8">
        <f>160*7+1760*2</f>
        <v>4640</v>
      </c>
      <c r="DE54" s="38"/>
      <c r="DF54" s="111">
        <v>5000</v>
      </c>
      <c r="DH54" s="8">
        <f>+SUM(AW54:DC54)</f>
        <v>53902</v>
      </c>
      <c r="DP54" s="9">
        <v>935</v>
      </c>
      <c r="DT54" s="9">
        <v>1760</v>
      </c>
      <c r="FN54" s="7">
        <v>935</v>
      </c>
    </row>
    <row r="55" spans="1:170" s="9" customFormat="1" ht="13.5" x14ac:dyDescent="0.25">
      <c r="A55" s="16">
        <v>3</v>
      </c>
      <c r="B55" s="7" t="s">
        <v>63</v>
      </c>
      <c r="C55" s="8" t="s">
        <v>66</v>
      </c>
      <c r="D55" s="7">
        <v>3</v>
      </c>
      <c r="E55" s="7">
        <v>850</v>
      </c>
      <c r="F55" s="7">
        <v>850</v>
      </c>
      <c r="G55" s="7">
        <v>850</v>
      </c>
      <c r="H55" s="7">
        <v>850</v>
      </c>
      <c r="I55" s="7">
        <v>850</v>
      </c>
      <c r="J55" s="7">
        <v>850</v>
      </c>
      <c r="K55" s="7">
        <v>850</v>
      </c>
      <c r="L55" s="7">
        <v>850</v>
      </c>
      <c r="M55" s="7">
        <v>850</v>
      </c>
      <c r="N55" s="7">
        <v>850</v>
      </c>
      <c r="O55" s="7">
        <v>850</v>
      </c>
      <c r="P55" s="7">
        <v>850</v>
      </c>
      <c r="Q55" s="7">
        <v>850</v>
      </c>
      <c r="R55" s="7">
        <v>850</v>
      </c>
      <c r="S55" s="7">
        <v>850</v>
      </c>
      <c r="T55" s="7">
        <v>850</v>
      </c>
      <c r="U55" s="7">
        <v>850</v>
      </c>
      <c r="V55" s="7">
        <v>850</v>
      </c>
      <c r="W55" s="7">
        <v>850</v>
      </c>
      <c r="X55" s="7">
        <v>850</v>
      </c>
      <c r="Y55" s="7">
        <v>850</v>
      </c>
      <c r="Z55" s="7">
        <v>850</v>
      </c>
      <c r="AA55" s="7">
        <v>850</v>
      </c>
      <c r="AB55" s="7">
        <v>850</v>
      </c>
      <c r="AC55" s="7">
        <v>850</v>
      </c>
      <c r="AD55" s="7">
        <v>850</v>
      </c>
      <c r="AE55" s="7">
        <v>850</v>
      </c>
      <c r="AF55" s="7">
        <v>850</v>
      </c>
      <c r="AG55" s="7">
        <v>850</v>
      </c>
      <c r="AH55" s="7">
        <v>850</v>
      </c>
      <c r="AI55" s="7">
        <v>850</v>
      </c>
      <c r="AJ55" s="7">
        <v>850</v>
      </c>
      <c r="AK55" s="7">
        <v>850</v>
      </c>
      <c r="AL55" s="7">
        <v>850</v>
      </c>
      <c r="AM55" s="7">
        <v>850</v>
      </c>
      <c r="AN55" s="7">
        <v>850</v>
      </c>
      <c r="AO55" s="7">
        <v>850</v>
      </c>
      <c r="AP55" s="7">
        <v>850</v>
      </c>
      <c r="AQ55" s="7">
        <v>850</v>
      </c>
      <c r="AR55" s="7">
        <v>850</v>
      </c>
      <c r="AS55" s="7">
        <v>850</v>
      </c>
      <c r="AT55" s="7">
        <v>850</v>
      </c>
      <c r="AU55" s="7">
        <v>850</v>
      </c>
      <c r="AV55" s="92">
        <v>850</v>
      </c>
      <c r="AW55" s="92">
        <v>850</v>
      </c>
      <c r="AX55" s="92">
        <v>850</v>
      </c>
      <c r="AY55" s="92">
        <v>850</v>
      </c>
      <c r="AZ55" s="92">
        <v>850</v>
      </c>
      <c r="BA55" s="92">
        <v>850</v>
      </c>
      <c r="BB55" s="92">
        <v>850</v>
      </c>
      <c r="BC55" s="92">
        <v>850</v>
      </c>
      <c r="BD55" s="92">
        <v>850</v>
      </c>
      <c r="BE55" s="92">
        <v>850</v>
      </c>
      <c r="BF55" s="92">
        <v>850</v>
      </c>
      <c r="BG55" s="92">
        <v>850</v>
      </c>
      <c r="BH55" s="92">
        <v>850</v>
      </c>
      <c r="BI55" s="92">
        <v>850</v>
      </c>
      <c r="BJ55" s="92">
        <v>850</v>
      </c>
      <c r="BK55" s="92">
        <v>850</v>
      </c>
      <c r="BL55" s="92">
        <v>850</v>
      </c>
      <c r="BM55" s="92">
        <v>850</v>
      </c>
      <c r="BN55" s="92">
        <v>850</v>
      </c>
      <c r="BO55" s="92">
        <v>850</v>
      </c>
      <c r="BP55" s="92">
        <v>850</v>
      </c>
      <c r="BQ55" s="92">
        <v>850</v>
      </c>
      <c r="BR55" s="92">
        <v>850</v>
      </c>
      <c r="BS55" s="92">
        <v>850</v>
      </c>
      <c r="BT55" s="92">
        <v>850</v>
      </c>
      <c r="BU55" s="92">
        <v>850</v>
      </c>
      <c r="BV55" s="92">
        <v>850</v>
      </c>
      <c r="BW55" s="92">
        <v>850</v>
      </c>
      <c r="BX55" s="92">
        <v>850</v>
      </c>
      <c r="BY55" s="92">
        <v>850</v>
      </c>
      <c r="BZ55" s="92">
        <v>850</v>
      </c>
      <c r="CA55" s="92">
        <v>850</v>
      </c>
      <c r="CB55" s="92">
        <v>850</v>
      </c>
      <c r="CC55" s="92">
        <v>850</v>
      </c>
      <c r="CD55" s="92">
        <v>850</v>
      </c>
      <c r="CE55" s="92">
        <v>850</v>
      </c>
      <c r="CF55" s="92">
        <v>850</v>
      </c>
      <c r="CG55" s="92">
        <v>850</v>
      </c>
      <c r="CH55" s="92">
        <v>850</v>
      </c>
      <c r="CI55" s="92">
        <v>850</v>
      </c>
      <c r="CJ55" s="92">
        <v>850</v>
      </c>
      <c r="CK55" s="92">
        <v>6600</v>
      </c>
      <c r="CL55" s="92">
        <v>1600</v>
      </c>
      <c r="CM55" s="92">
        <v>1600</v>
      </c>
      <c r="CN55" s="92">
        <v>1600</v>
      </c>
      <c r="CO55" s="92">
        <v>1600</v>
      </c>
      <c r="CP55" s="92">
        <v>1600</v>
      </c>
      <c r="CQ55" s="92">
        <v>1600</v>
      </c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8">
        <f>1600*2</f>
        <v>3200</v>
      </c>
      <c r="DE55" s="38"/>
      <c r="DF55" s="111">
        <v>5000</v>
      </c>
      <c r="DH55" s="8">
        <f>+SUM(AV55:DC55)</f>
        <v>51050</v>
      </c>
      <c r="DP55" s="9">
        <v>850</v>
      </c>
      <c r="DT55" s="9">
        <v>1600</v>
      </c>
      <c r="FN55" s="7">
        <v>850</v>
      </c>
    </row>
    <row r="56" spans="1:170" s="9" customFormat="1" ht="13.5" x14ac:dyDescent="0.25">
      <c r="A56" s="16">
        <v>4</v>
      </c>
      <c r="B56" s="7" t="s">
        <v>63</v>
      </c>
      <c r="C56" s="8" t="s">
        <v>132</v>
      </c>
      <c r="D56" s="7">
        <v>4</v>
      </c>
      <c r="E56" s="7">
        <v>870</v>
      </c>
      <c r="F56" s="7">
        <v>870</v>
      </c>
      <c r="G56" s="7">
        <v>870</v>
      </c>
      <c r="H56" s="7">
        <v>870</v>
      </c>
      <c r="I56" s="7">
        <v>870</v>
      </c>
      <c r="J56" s="7">
        <v>870</v>
      </c>
      <c r="K56" s="7">
        <v>870</v>
      </c>
      <c r="L56" s="7">
        <v>870</v>
      </c>
      <c r="M56" s="7">
        <v>870</v>
      </c>
      <c r="N56" s="7">
        <v>870</v>
      </c>
      <c r="O56" s="7">
        <v>870</v>
      </c>
      <c r="P56" s="7">
        <v>870</v>
      </c>
      <c r="Q56" s="7">
        <v>870</v>
      </c>
      <c r="R56" s="7">
        <v>870</v>
      </c>
      <c r="S56" s="7">
        <v>870</v>
      </c>
      <c r="T56" s="7">
        <v>870</v>
      </c>
      <c r="U56" s="7">
        <v>870</v>
      </c>
      <c r="V56" s="7">
        <v>870</v>
      </c>
      <c r="W56" s="7">
        <v>870</v>
      </c>
      <c r="X56" s="7">
        <v>870</v>
      </c>
      <c r="Y56" s="7">
        <v>870</v>
      </c>
      <c r="Z56" s="7">
        <v>870</v>
      </c>
      <c r="AA56" s="7">
        <v>870</v>
      </c>
      <c r="AB56" s="7">
        <v>870</v>
      </c>
      <c r="AC56" s="7">
        <v>870</v>
      </c>
      <c r="AD56" s="7">
        <v>870</v>
      </c>
      <c r="AE56" s="7">
        <v>870</v>
      </c>
      <c r="AF56" s="7">
        <v>870</v>
      </c>
      <c r="AG56" s="7">
        <v>870</v>
      </c>
      <c r="AH56" s="7">
        <v>870</v>
      </c>
      <c r="AI56" s="7">
        <v>870</v>
      </c>
      <c r="AJ56" s="7">
        <v>870</v>
      </c>
      <c r="AK56" s="7">
        <v>870</v>
      </c>
      <c r="AL56" s="7">
        <v>870</v>
      </c>
      <c r="AM56" s="7">
        <v>870</v>
      </c>
      <c r="AN56" s="7">
        <v>870</v>
      </c>
      <c r="AO56" s="7">
        <v>870</v>
      </c>
      <c r="AP56" s="7">
        <v>870</v>
      </c>
      <c r="AQ56" s="7">
        <v>870</v>
      </c>
      <c r="AR56" s="7">
        <v>870</v>
      </c>
      <c r="AS56" s="7">
        <v>870</v>
      </c>
      <c r="AT56" s="7">
        <v>870</v>
      </c>
      <c r="AU56" s="7">
        <v>870</v>
      </c>
      <c r="AV56" s="7">
        <v>870</v>
      </c>
      <c r="AW56" s="7">
        <v>870</v>
      </c>
      <c r="AX56" s="7">
        <v>870</v>
      </c>
      <c r="AY56" s="7">
        <v>870</v>
      </c>
      <c r="AZ56" s="7">
        <v>870</v>
      </c>
      <c r="BA56" s="92">
        <v>870</v>
      </c>
      <c r="BB56" s="92">
        <v>870</v>
      </c>
      <c r="BC56" s="92">
        <v>870</v>
      </c>
      <c r="BD56" s="92">
        <v>870</v>
      </c>
      <c r="BE56" s="92">
        <v>870</v>
      </c>
      <c r="BF56" s="92">
        <v>870</v>
      </c>
      <c r="BG56" s="92">
        <v>870</v>
      </c>
      <c r="BH56" s="92">
        <v>870</v>
      </c>
      <c r="BI56" s="92">
        <v>870</v>
      </c>
      <c r="BJ56" s="92">
        <v>870</v>
      </c>
      <c r="BK56" s="92">
        <v>870</v>
      </c>
      <c r="BL56" s="92">
        <v>870</v>
      </c>
      <c r="BM56" s="92">
        <v>870</v>
      </c>
      <c r="BN56" s="92">
        <v>870</v>
      </c>
      <c r="BO56" s="92">
        <v>870</v>
      </c>
      <c r="BP56" s="92">
        <v>870</v>
      </c>
      <c r="BQ56" s="92">
        <v>870</v>
      </c>
      <c r="BR56" s="92">
        <v>870</v>
      </c>
      <c r="BS56" s="92">
        <v>870</v>
      </c>
      <c r="BT56" s="92">
        <v>870</v>
      </c>
      <c r="BU56" s="92">
        <v>870</v>
      </c>
      <c r="BV56" s="92">
        <v>870</v>
      </c>
      <c r="BW56" s="92">
        <v>870</v>
      </c>
      <c r="BX56" s="92">
        <v>870</v>
      </c>
      <c r="BY56" s="92">
        <v>870</v>
      </c>
      <c r="BZ56" s="92">
        <v>870</v>
      </c>
      <c r="CA56" s="92">
        <v>870</v>
      </c>
      <c r="CB56" s="92">
        <v>870</v>
      </c>
      <c r="CC56" s="92">
        <v>870</v>
      </c>
      <c r="CD56" s="92">
        <v>870</v>
      </c>
      <c r="CE56" s="92">
        <v>870</v>
      </c>
      <c r="CF56" s="92">
        <v>870</v>
      </c>
      <c r="CG56" s="92">
        <v>870</v>
      </c>
      <c r="CH56" s="92">
        <v>870</v>
      </c>
      <c r="CI56" s="92">
        <v>870</v>
      </c>
      <c r="CJ56" s="92">
        <v>870</v>
      </c>
      <c r="CK56" s="92">
        <v>6600</v>
      </c>
      <c r="CL56" s="92">
        <v>1920</v>
      </c>
      <c r="CM56" s="92">
        <v>1760</v>
      </c>
      <c r="CN56" s="92">
        <v>1760</v>
      </c>
      <c r="CO56" s="92">
        <v>1760</v>
      </c>
      <c r="CP56" s="92">
        <v>1760</v>
      </c>
      <c r="CQ56" s="92">
        <v>1760</v>
      </c>
      <c r="CR56" s="92">
        <v>1760</v>
      </c>
      <c r="CS56" s="92">
        <v>1760</v>
      </c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8">
        <v>0</v>
      </c>
      <c r="DE56" s="38"/>
      <c r="DF56" s="111">
        <v>5000</v>
      </c>
      <c r="DH56" s="8">
        <f>+SUM(BA56:DC56)</f>
        <v>52160</v>
      </c>
      <c r="DP56" s="9">
        <f t="shared" si="0"/>
        <v>870</v>
      </c>
      <c r="DT56" s="9">
        <v>1760</v>
      </c>
      <c r="FN56" s="7">
        <v>870</v>
      </c>
    </row>
    <row r="57" spans="1:170" s="9" customFormat="1" ht="13.5" x14ac:dyDescent="0.25">
      <c r="A57" s="16">
        <v>5</v>
      </c>
      <c r="B57" s="7" t="s">
        <v>63</v>
      </c>
      <c r="C57" s="8" t="s">
        <v>21</v>
      </c>
      <c r="D57" s="7">
        <v>5</v>
      </c>
      <c r="E57" s="7">
        <v>790</v>
      </c>
      <c r="F57" s="7">
        <v>790</v>
      </c>
      <c r="G57" s="7">
        <v>790</v>
      </c>
      <c r="H57" s="7">
        <v>790</v>
      </c>
      <c r="I57" s="7">
        <v>790</v>
      </c>
      <c r="J57" s="7">
        <v>790</v>
      </c>
      <c r="K57" s="7">
        <v>790</v>
      </c>
      <c r="L57" s="7">
        <v>790</v>
      </c>
      <c r="M57" s="7">
        <v>790</v>
      </c>
      <c r="N57" s="7">
        <v>790</v>
      </c>
      <c r="O57" s="7">
        <v>790</v>
      </c>
      <c r="P57" s="7">
        <v>790</v>
      </c>
      <c r="Q57" s="7">
        <v>790</v>
      </c>
      <c r="R57" s="7">
        <v>790</v>
      </c>
      <c r="S57" s="7">
        <v>790</v>
      </c>
      <c r="T57" s="7">
        <v>790</v>
      </c>
      <c r="U57" s="7">
        <v>790</v>
      </c>
      <c r="V57" s="7">
        <v>790</v>
      </c>
      <c r="W57" s="7">
        <v>790</v>
      </c>
      <c r="X57" s="7">
        <v>790</v>
      </c>
      <c r="Y57" s="7">
        <v>790</v>
      </c>
      <c r="Z57" s="7">
        <v>790</v>
      </c>
      <c r="AA57" s="7">
        <v>790</v>
      </c>
      <c r="AB57" s="7">
        <v>790</v>
      </c>
      <c r="AC57" s="7">
        <v>790</v>
      </c>
      <c r="AD57" s="7">
        <v>790</v>
      </c>
      <c r="AE57" s="7">
        <v>790</v>
      </c>
      <c r="AF57" s="7">
        <v>790</v>
      </c>
      <c r="AG57" s="7">
        <v>790</v>
      </c>
      <c r="AH57" s="7">
        <v>790</v>
      </c>
      <c r="AI57" s="7">
        <v>790</v>
      </c>
      <c r="AJ57" s="7">
        <v>790</v>
      </c>
      <c r="AK57" s="7">
        <v>790</v>
      </c>
      <c r="AL57" s="7">
        <v>790</v>
      </c>
      <c r="AM57" s="7">
        <v>790</v>
      </c>
      <c r="AN57" s="7">
        <v>790</v>
      </c>
      <c r="AO57" s="7">
        <v>790</v>
      </c>
      <c r="AP57" s="7">
        <v>790</v>
      </c>
      <c r="AQ57" s="7">
        <v>790</v>
      </c>
      <c r="AR57" s="7">
        <v>790</v>
      </c>
      <c r="AS57" s="7">
        <v>790</v>
      </c>
      <c r="AT57" s="7">
        <v>790</v>
      </c>
      <c r="AU57" s="7">
        <v>790</v>
      </c>
      <c r="AV57" s="7">
        <v>790</v>
      </c>
      <c r="AW57" s="7">
        <v>790</v>
      </c>
      <c r="AX57" s="92">
        <v>790</v>
      </c>
      <c r="AY57" s="92">
        <v>790</v>
      </c>
      <c r="AZ57" s="92">
        <v>790</v>
      </c>
      <c r="BA57" s="92">
        <v>790</v>
      </c>
      <c r="BB57" s="92">
        <v>790</v>
      </c>
      <c r="BC57" s="92">
        <v>790</v>
      </c>
      <c r="BD57" s="92">
        <v>790</v>
      </c>
      <c r="BE57" s="92">
        <v>790</v>
      </c>
      <c r="BF57" s="92">
        <v>790</v>
      </c>
      <c r="BG57" s="92">
        <v>790</v>
      </c>
      <c r="BH57" s="92">
        <v>790</v>
      </c>
      <c r="BI57" s="92">
        <v>790</v>
      </c>
      <c r="BJ57" s="92">
        <v>790</v>
      </c>
      <c r="BK57" s="92">
        <v>790</v>
      </c>
      <c r="BL57" s="92">
        <v>790</v>
      </c>
      <c r="BM57" s="92">
        <v>790</v>
      </c>
      <c r="BN57" s="92">
        <v>790</v>
      </c>
      <c r="BO57" s="92">
        <v>790</v>
      </c>
      <c r="BP57" s="92">
        <v>790</v>
      </c>
      <c r="BQ57" s="92">
        <v>790</v>
      </c>
      <c r="BR57" s="92">
        <v>790</v>
      </c>
      <c r="BS57" s="92">
        <v>790</v>
      </c>
      <c r="BT57" s="92">
        <v>790</v>
      </c>
      <c r="BU57" s="92">
        <v>790</v>
      </c>
      <c r="BV57" s="92">
        <v>790</v>
      </c>
      <c r="BW57" s="92">
        <v>790</v>
      </c>
      <c r="BX57" s="92">
        <v>790</v>
      </c>
      <c r="BY57" s="92">
        <v>790</v>
      </c>
      <c r="BZ57" s="92">
        <v>790</v>
      </c>
      <c r="CA57" s="92">
        <v>790</v>
      </c>
      <c r="CB57" s="92">
        <v>790</v>
      </c>
      <c r="CC57" s="92">
        <v>790</v>
      </c>
      <c r="CD57" s="92">
        <v>790</v>
      </c>
      <c r="CE57" s="92">
        <v>790</v>
      </c>
      <c r="CF57" s="92">
        <v>790</v>
      </c>
      <c r="CG57" s="92">
        <v>870</v>
      </c>
      <c r="CH57" s="92">
        <v>870</v>
      </c>
      <c r="CI57" s="92">
        <v>870</v>
      </c>
      <c r="CJ57" s="92">
        <v>5870</v>
      </c>
      <c r="CK57" s="92">
        <v>1760</v>
      </c>
      <c r="CL57" s="92">
        <v>1760</v>
      </c>
      <c r="CM57" s="92">
        <v>1760</v>
      </c>
      <c r="CN57" s="92">
        <v>1760</v>
      </c>
      <c r="CO57" s="92">
        <v>1760</v>
      </c>
      <c r="CP57" s="92">
        <v>1760</v>
      </c>
      <c r="CQ57" s="92">
        <v>1760</v>
      </c>
      <c r="CR57" s="92">
        <v>1760</v>
      </c>
      <c r="CS57" s="92">
        <v>1760</v>
      </c>
      <c r="CT57" s="92">
        <v>1760</v>
      </c>
      <c r="CU57" s="92">
        <v>1760</v>
      </c>
      <c r="CV57" s="92">
        <v>1760</v>
      </c>
      <c r="CW57" s="7"/>
      <c r="CX57" s="7"/>
      <c r="CY57" s="7"/>
      <c r="CZ57" s="7"/>
      <c r="DA57" s="7"/>
      <c r="DB57" s="7"/>
      <c r="DC57" s="7"/>
      <c r="DD57" s="8">
        <v>0</v>
      </c>
      <c r="DE57" s="38"/>
      <c r="DF57" s="111">
        <v>5000</v>
      </c>
      <c r="DH57" s="8">
        <f>+SUM(AX57:DC57)</f>
        <v>57250</v>
      </c>
      <c r="DP57" s="9">
        <v>870</v>
      </c>
      <c r="DT57" s="9">
        <v>1760</v>
      </c>
      <c r="FN57" s="7">
        <v>790</v>
      </c>
    </row>
    <row r="58" spans="1:170" s="9" customFormat="1" ht="13.5" x14ac:dyDescent="0.25">
      <c r="A58" s="16">
        <v>6</v>
      </c>
      <c r="B58" s="7" t="s">
        <v>63</v>
      </c>
      <c r="C58" s="8" t="s">
        <v>22</v>
      </c>
      <c r="D58" s="7">
        <v>6</v>
      </c>
      <c r="E58" s="7">
        <v>935</v>
      </c>
      <c r="F58" s="7">
        <v>935</v>
      </c>
      <c r="G58" s="7">
        <v>935</v>
      </c>
      <c r="H58" s="7">
        <v>935</v>
      </c>
      <c r="I58" s="7">
        <v>935</v>
      </c>
      <c r="J58" s="7">
        <v>935</v>
      </c>
      <c r="K58" s="7">
        <v>935</v>
      </c>
      <c r="L58" s="7">
        <v>935</v>
      </c>
      <c r="M58" s="7">
        <v>935</v>
      </c>
      <c r="N58" s="7">
        <v>935</v>
      </c>
      <c r="O58" s="7">
        <v>935</v>
      </c>
      <c r="P58" s="7">
        <v>935</v>
      </c>
      <c r="Q58" s="7">
        <v>935</v>
      </c>
      <c r="R58" s="7">
        <v>935</v>
      </c>
      <c r="S58" s="7">
        <v>935</v>
      </c>
      <c r="T58" s="7">
        <v>935</v>
      </c>
      <c r="U58" s="7">
        <v>935</v>
      </c>
      <c r="V58" s="7">
        <v>935</v>
      </c>
      <c r="W58" s="7">
        <v>935</v>
      </c>
      <c r="X58" s="7">
        <v>935</v>
      </c>
      <c r="Y58" s="7">
        <v>935</v>
      </c>
      <c r="Z58" s="7">
        <v>935</v>
      </c>
      <c r="AA58" s="7">
        <v>935</v>
      </c>
      <c r="AB58" s="7">
        <v>935</v>
      </c>
      <c r="AC58" s="7">
        <v>935</v>
      </c>
      <c r="AD58" s="7">
        <v>935</v>
      </c>
      <c r="AE58" s="7">
        <v>935</v>
      </c>
      <c r="AF58" s="7">
        <v>935</v>
      </c>
      <c r="AG58" s="7">
        <v>935</v>
      </c>
      <c r="AH58" s="7">
        <v>935</v>
      </c>
      <c r="AI58" s="7">
        <v>935</v>
      </c>
      <c r="AJ58" s="7">
        <v>935</v>
      </c>
      <c r="AK58" s="7">
        <v>935</v>
      </c>
      <c r="AL58" s="7">
        <v>935</v>
      </c>
      <c r="AM58" s="7">
        <v>935</v>
      </c>
      <c r="AN58" s="7">
        <v>935</v>
      </c>
      <c r="AO58" s="7">
        <v>935</v>
      </c>
      <c r="AP58" s="7">
        <v>935</v>
      </c>
      <c r="AQ58" s="7">
        <v>935</v>
      </c>
      <c r="AR58" s="7">
        <v>935</v>
      </c>
      <c r="AS58" s="7">
        <v>935</v>
      </c>
      <c r="AT58" s="7">
        <v>935</v>
      </c>
      <c r="AU58" s="7">
        <v>935</v>
      </c>
      <c r="AV58" s="7">
        <v>935</v>
      </c>
      <c r="AW58" s="7">
        <v>935</v>
      </c>
      <c r="AX58" s="7">
        <v>870</v>
      </c>
      <c r="AY58" s="92">
        <v>870</v>
      </c>
      <c r="AZ58" s="92">
        <v>870</v>
      </c>
      <c r="BA58" s="92">
        <v>870</v>
      </c>
      <c r="BB58" s="92">
        <v>870</v>
      </c>
      <c r="BC58" s="92">
        <v>935</v>
      </c>
      <c r="BD58" s="92">
        <v>935</v>
      </c>
      <c r="BE58" s="92">
        <v>935</v>
      </c>
      <c r="BF58" s="92">
        <v>831</v>
      </c>
      <c r="BG58" s="92">
        <v>935</v>
      </c>
      <c r="BH58" s="92">
        <v>935</v>
      </c>
      <c r="BI58" s="92">
        <f>935+104</f>
        <v>1039</v>
      </c>
      <c r="BJ58" s="92">
        <v>935</v>
      </c>
      <c r="BK58" s="92">
        <v>935</v>
      </c>
      <c r="BL58" s="92">
        <v>935</v>
      </c>
      <c r="BM58" s="92">
        <v>935</v>
      </c>
      <c r="BN58" s="92">
        <v>850</v>
      </c>
      <c r="BO58" s="92">
        <v>850</v>
      </c>
      <c r="BP58" s="92">
        <v>850</v>
      </c>
      <c r="BQ58" s="92">
        <v>850</v>
      </c>
      <c r="BR58" s="92">
        <v>850</v>
      </c>
      <c r="BS58" s="92">
        <v>850</v>
      </c>
      <c r="BT58" s="92">
        <v>850</v>
      </c>
      <c r="BU58" s="92">
        <v>850</v>
      </c>
      <c r="BV58" s="92">
        <v>850</v>
      </c>
      <c r="BW58" s="92">
        <v>850</v>
      </c>
      <c r="BX58" s="92">
        <v>850</v>
      </c>
      <c r="BY58" s="92">
        <v>850</v>
      </c>
      <c r="BZ58" s="92">
        <v>850</v>
      </c>
      <c r="CA58" s="92">
        <v>850</v>
      </c>
      <c r="CB58" s="92">
        <v>850</v>
      </c>
      <c r="CC58" s="92">
        <v>850</v>
      </c>
      <c r="CD58" s="92">
        <v>850</v>
      </c>
      <c r="CE58" s="92">
        <v>850</v>
      </c>
      <c r="CF58" s="92">
        <v>850</v>
      </c>
      <c r="CG58" s="92">
        <v>850</v>
      </c>
      <c r="CH58" s="92">
        <v>850</v>
      </c>
      <c r="CI58" s="92">
        <v>850</v>
      </c>
      <c r="CJ58" s="92">
        <v>850</v>
      </c>
      <c r="CK58" s="92">
        <v>1600</v>
      </c>
      <c r="CL58" s="92">
        <v>1600</v>
      </c>
      <c r="CM58" s="92">
        <v>1600</v>
      </c>
      <c r="CN58" s="92">
        <v>1600</v>
      </c>
      <c r="CO58" s="92">
        <v>6600</v>
      </c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8">
        <f>1600*4</f>
        <v>6400</v>
      </c>
      <c r="DE58" s="17" t="s">
        <v>120</v>
      </c>
      <c r="DF58" s="111">
        <v>5000</v>
      </c>
      <c r="DH58" s="8">
        <f>+SUM(AY58:DC58)</f>
        <v>46315</v>
      </c>
      <c r="DP58" s="9">
        <f t="shared" si="0"/>
        <v>850</v>
      </c>
      <c r="DT58" s="9">
        <v>1600</v>
      </c>
      <c r="FN58" s="7">
        <v>935</v>
      </c>
    </row>
    <row r="59" spans="1:170" s="9" customFormat="1" ht="13.5" x14ac:dyDescent="0.25">
      <c r="A59" s="16">
        <v>7</v>
      </c>
      <c r="B59" s="7" t="s">
        <v>63</v>
      </c>
      <c r="C59" s="8" t="s">
        <v>68</v>
      </c>
      <c r="D59" s="7">
        <v>7</v>
      </c>
      <c r="E59" s="7">
        <v>850</v>
      </c>
      <c r="F59" s="7">
        <v>850</v>
      </c>
      <c r="G59" s="7">
        <v>850</v>
      </c>
      <c r="H59" s="7">
        <v>850</v>
      </c>
      <c r="I59" s="7">
        <v>850</v>
      </c>
      <c r="J59" s="7">
        <v>850</v>
      </c>
      <c r="K59" s="7">
        <v>850</v>
      </c>
      <c r="L59" s="7">
        <v>850</v>
      </c>
      <c r="M59" s="7">
        <v>850</v>
      </c>
      <c r="N59" s="7">
        <v>850</v>
      </c>
      <c r="O59" s="7">
        <v>850</v>
      </c>
      <c r="P59" s="7">
        <v>850</v>
      </c>
      <c r="Q59" s="7">
        <v>850</v>
      </c>
      <c r="R59" s="7">
        <v>850</v>
      </c>
      <c r="S59" s="7">
        <v>850</v>
      </c>
      <c r="T59" s="7">
        <v>850</v>
      </c>
      <c r="U59" s="7">
        <v>850</v>
      </c>
      <c r="V59" s="7">
        <v>850</v>
      </c>
      <c r="W59" s="7">
        <v>850</v>
      </c>
      <c r="X59" s="7">
        <v>850</v>
      </c>
      <c r="Y59" s="7">
        <v>850</v>
      </c>
      <c r="Z59" s="7">
        <v>850</v>
      </c>
      <c r="AA59" s="7">
        <v>850</v>
      </c>
      <c r="AB59" s="7">
        <v>850</v>
      </c>
      <c r="AC59" s="7">
        <v>850</v>
      </c>
      <c r="AD59" s="7">
        <v>850</v>
      </c>
      <c r="AE59" s="7">
        <v>850</v>
      </c>
      <c r="AF59" s="7">
        <v>850</v>
      </c>
      <c r="AG59" s="7">
        <v>850</v>
      </c>
      <c r="AH59" s="7">
        <v>850</v>
      </c>
      <c r="AI59" s="7">
        <v>850</v>
      </c>
      <c r="AJ59" s="7">
        <v>850</v>
      </c>
      <c r="AK59" s="7">
        <v>850</v>
      </c>
      <c r="AL59" s="7">
        <v>850</v>
      </c>
      <c r="AM59" s="7">
        <v>850</v>
      </c>
      <c r="AN59" s="7">
        <v>850</v>
      </c>
      <c r="AO59" s="7">
        <v>850</v>
      </c>
      <c r="AP59" s="7">
        <v>850</v>
      </c>
      <c r="AQ59" s="7">
        <v>850</v>
      </c>
      <c r="AR59" s="7">
        <v>850</v>
      </c>
      <c r="AS59" s="7">
        <v>850</v>
      </c>
      <c r="AT59" s="7">
        <v>850</v>
      </c>
      <c r="AU59" s="7">
        <v>850</v>
      </c>
      <c r="AV59" s="7">
        <v>850</v>
      </c>
      <c r="AW59" s="7">
        <v>850</v>
      </c>
      <c r="AX59" s="92">
        <v>850</v>
      </c>
      <c r="AY59" s="92">
        <v>850</v>
      </c>
      <c r="AZ59" s="92">
        <v>850</v>
      </c>
      <c r="BA59" s="92">
        <v>850</v>
      </c>
      <c r="BB59" s="92">
        <v>850</v>
      </c>
      <c r="BC59" s="92">
        <v>850</v>
      </c>
      <c r="BD59" s="92">
        <v>850</v>
      </c>
      <c r="BE59" s="92">
        <v>850</v>
      </c>
      <c r="BF59" s="92">
        <v>850</v>
      </c>
      <c r="BG59" s="92">
        <v>850</v>
      </c>
      <c r="BH59" s="92">
        <v>850</v>
      </c>
      <c r="BI59" s="92">
        <v>850</v>
      </c>
      <c r="BJ59" s="92">
        <v>850</v>
      </c>
      <c r="BK59" s="92">
        <v>850</v>
      </c>
      <c r="BL59" s="92">
        <v>850</v>
      </c>
      <c r="BM59" s="92">
        <v>850</v>
      </c>
      <c r="BN59" s="92">
        <v>850</v>
      </c>
      <c r="BO59" s="92">
        <v>850</v>
      </c>
      <c r="BP59" s="92">
        <v>850</v>
      </c>
      <c r="BQ59" s="92">
        <v>850</v>
      </c>
      <c r="BR59" s="92">
        <v>850</v>
      </c>
      <c r="BS59" s="92">
        <v>850</v>
      </c>
      <c r="BT59" s="92">
        <v>850</v>
      </c>
      <c r="BU59" s="92">
        <v>850</v>
      </c>
      <c r="BV59" s="92">
        <v>850</v>
      </c>
      <c r="BW59" s="92">
        <v>850</v>
      </c>
      <c r="BX59" s="92">
        <v>850</v>
      </c>
      <c r="BY59" s="92">
        <v>850</v>
      </c>
      <c r="BZ59" s="92">
        <v>850</v>
      </c>
      <c r="CA59" s="92">
        <v>850</v>
      </c>
      <c r="CB59" s="92">
        <v>850</v>
      </c>
      <c r="CC59" s="92">
        <v>850</v>
      </c>
      <c r="CD59" s="92">
        <v>850</v>
      </c>
      <c r="CE59" s="92">
        <v>850</v>
      </c>
      <c r="CF59" s="92">
        <v>850</v>
      </c>
      <c r="CG59" s="92">
        <v>850</v>
      </c>
      <c r="CH59" s="92">
        <v>850</v>
      </c>
      <c r="CI59" s="92">
        <v>850</v>
      </c>
      <c r="CJ59" s="92">
        <v>850</v>
      </c>
      <c r="CK59" s="92">
        <v>6600</v>
      </c>
      <c r="CL59" s="92">
        <v>1600</v>
      </c>
      <c r="CM59" s="92">
        <v>1600</v>
      </c>
      <c r="CN59" s="92">
        <v>1600</v>
      </c>
      <c r="CO59" s="92">
        <v>1600</v>
      </c>
      <c r="CP59" s="92">
        <v>1600</v>
      </c>
      <c r="CQ59" s="92">
        <v>1600</v>
      </c>
      <c r="CR59" s="92">
        <v>1600</v>
      </c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8">
        <v>1600</v>
      </c>
      <c r="DE59" s="38"/>
      <c r="DF59" s="111">
        <v>5000</v>
      </c>
      <c r="DH59" s="8">
        <f>+SUM(AX59:DC59)</f>
        <v>50950</v>
      </c>
      <c r="DP59" s="9">
        <f t="shared" si="0"/>
        <v>850</v>
      </c>
      <c r="DT59" s="9">
        <v>1600</v>
      </c>
      <c r="FN59" s="7">
        <v>850</v>
      </c>
    </row>
    <row r="60" spans="1:170" s="9" customFormat="1" ht="13.5" x14ac:dyDescent="0.25">
      <c r="A60" s="16">
        <v>8</v>
      </c>
      <c r="B60" s="7" t="s">
        <v>63</v>
      </c>
      <c r="C60" s="8" t="s">
        <v>69</v>
      </c>
      <c r="D60" s="7">
        <v>8</v>
      </c>
      <c r="E60" s="7">
        <v>870</v>
      </c>
      <c r="F60" s="7">
        <v>870</v>
      </c>
      <c r="G60" s="7">
        <v>870</v>
      </c>
      <c r="H60" s="7">
        <v>870</v>
      </c>
      <c r="I60" s="7">
        <v>870</v>
      </c>
      <c r="J60" s="7">
        <v>870</v>
      </c>
      <c r="K60" s="7">
        <v>870</v>
      </c>
      <c r="L60" s="7">
        <v>870</v>
      </c>
      <c r="M60" s="7">
        <v>870</v>
      </c>
      <c r="N60" s="7">
        <v>870</v>
      </c>
      <c r="O60" s="7">
        <v>870</v>
      </c>
      <c r="P60" s="7">
        <v>870</v>
      </c>
      <c r="Q60" s="7">
        <v>870</v>
      </c>
      <c r="R60" s="7">
        <v>870</v>
      </c>
      <c r="S60" s="7">
        <v>870</v>
      </c>
      <c r="T60" s="7">
        <v>870</v>
      </c>
      <c r="U60" s="7">
        <v>870</v>
      </c>
      <c r="V60" s="7">
        <v>870</v>
      </c>
      <c r="W60" s="7">
        <v>870</v>
      </c>
      <c r="X60" s="7">
        <v>870</v>
      </c>
      <c r="Y60" s="7">
        <v>870</v>
      </c>
      <c r="Z60" s="7">
        <v>870</v>
      </c>
      <c r="AA60" s="7">
        <v>870</v>
      </c>
      <c r="AB60" s="7">
        <v>870</v>
      </c>
      <c r="AC60" s="7">
        <v>870</v>
      </c>
      <c r="AD60" s="7">
        <v>870</v>
      </c>
      <c r="AE60" s="7">
        <v>870</v>
      </c>
      <c r="AF60" s="7">
        <v>870</v>
      </c>
      <c r="AG60" s="7">
        <v>870</v>
      </c>
      <c r="AH60" s="7">
        <v>870</v>
      </c>
      <c r="AI60" s="7">
        <v>870</v>
      </c>
      <c r="AJ60" s="7">
        <v>870</v>
      </c>
      <c r="AK60" s="7">
        <v>870</v>
      </c>
      <c r="AL60" s="7">
        <v>870</v>
      </c>
      <c r="AM60" s="7">
        <v>870</v>
      </c>
      <c r="AN60" s="7">
        <v>870</v>
      </c>
      <c r="AO60" s="7">
        <v>870</v>
      </c>
      <c r="AP60" s="7">
        <v>870</v>
      </c>
      <c r="AQ60" s="7">
        <v>870</v>
      </c>
      <c r="AR60" s="7">
        <v>870</v>
      </c>
      <c r="AS60" s="7">
        <v>870</v>
      </c>
      <c r="AT60" s="7">
        <v>870</v>
      </c>
      <c r="AU60" s="7">
        <v>870</v>
      </c>
      <c r="AV60" s="7">
        <v>870</v>
      </c>
      <c r="AW60" s="7">
        <v>870</v>
      </c>
      <c r="AX60" s="92">
        <v>870</v>
      </c>
      <c r="AY60" s="92">
        <v>870</v>
      </c>
      <c r="AZ60" s="92">
        <v>870</v>
      </c>
      <c r="BA60" s="92">
        <v>870</v>
      </c>
      <c r="BB60" s="92">
        <v>870</v>
      </c>
      <c r="BC60" s="92">
        <v>870</v>
      </c>
      <c r="BD60" s="92">
        <v>870</v>
      </c>
      <c r="BE60" s="92">
        <v>870</v>
      </c>
      <c r="BF60" s="92">
        <v>870</v>
      </c>
      <c r="BG60" s="92">
        <v>870</v>
      </c>
      <c r="BH60" s="92">
        <v>870</v>
      </c>
      <c r="BI60" s="92">
        <v>870</v>
      </c>
      <c r="BJ60" s="92">
        <v>870</v>
      </c>
      <c r="BK60" s="92">
        <v>870</v>
      </c>
      <c r="BL60" s="92">
        <v>870</v>
      </c>
      <c r="BM60" s="92">
        <v>870</v>
      </c>
      <c r="BN60" s="92">
        <v>870</v>
      </c>
      <c r="BO60" s="92">
        <v>870</v>
      </c>
      <c r="BP60" s="92">
        <v>870</v>
      </c>
      <c r="BQ60" s="92">
        <v>870</v>
      </c>
      <c r="BR60" s="92">
        <v>870</v>
      </c>
      <c r="BS60" s="92">
        <v>870</v>
      </c>
      <c r="BT60" s="92">
        <v>870</v>
      </c>
      <c r="BU60" s="92">
        <v>870</v>
      </c>
      <c r="BV60" s="92">
        <v>870</v>
      </c>
      <c r="BW60" s="92">
        <v>870</v>
      </c>
      <c r="BX60" s="92">
        <v>870</v>
      </c>
      <c r="BY60" s="92">
        <v>870</v>
      </c>
      <c r="BZ60" s="92">
        <v>870</v>
      </c>
      <c r="CA60" s="92">
        <v>870</v>
      </c>
      <c r="CB60" s="92">
        <v>870</v>
      </c>
      <c r="CC60" s="92">
        <v>870</v>
      </c>
      <c r="CD60" s="92">
        <v>870</v>
      </c>
      <c r="CE60" s="92">
        <v>870</v>
      </c>
      <c r="CF60" s="92">
        <v>870</v>
      </c>
      <c r="CG60" s="92">
        <v>870</v>
      </c>
      <c r="CH60" s="92">
        <v>870</v>
      </c>
      <c r="CI60" s="92">
        <v>870</v>
      </c>
      <c r="CJ60" s="92">
        <v>870</v>
      </c>
      <c r="CK60" s="92">
        <v>1760</v>
      </c>
      <c r="CL60" s="92">
        <v>1760</v>
      </c>
      <c r="CM60" s="92">
        <v>1760</v>
      </c>
      <c r="CN60" s="92">
        <v>1760</v>
      </c>
      <c r="CO60" s="92">
        <v>1760</v>
      </c>
      <c r="CP60" s="92">
        <v>6760</v>
      </c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8">
        <f>1760*3-60</f>
        <v>5220</v>
      </c>
      <c r="DE60" s="38"/>
      <c r="DF60" s="111">
        <v>5000</v>
      </c>
      <c r="DH60" s="8">
        <f>+SUM(AX60:DC60)</f>
        <v>49490</v>
      </c>
      <c r="DP60" s="9">
        <f t="shared" si="0"/>
        <v>870</v>
      </c>
      <c r="DT60" s="9">
        <v>1760</v>
      </c>
      <c r="FN60" s="7">
        <v>870</v>
      </c>
    </row>
    <row r="61" spans="1:170" s="9" customFormat="1" ht="13.5" x14ac:dyDescent="0.25">
      <c r="A61" s="16">
        <v>9</v>
      </c>
      <c r="B61" s="7" t="s">
        <v>63</v>
      </c>
      <c r="C61" s="8" t="s">
        <v>145</v>
      </c>
      <c r="D61" s="7">
        <v>9</v>
      </c>
      <c r="E61" s="7">
        <v>790</v>
      </c>
      <c r="F61" s="7">
        <v>790</v>
      </c>
      <c r="G61" s="7">
        <v>790</v>
      </c>
      <c r="H61" s="7">
        <v>790</v>
      </c>
      <c r="I61" s="7">
        <v>790</v>
      </c>
      <c r="J61" s="7">
        <v>790</v>
      </c>
      <c r="K61" s="7">
        <v>790</v>
      </c>
      <c r="L61" s="7">
        <v>790</v>
      </c>
      <c r="M61" s="7">
        <v>790</v>
      </c>
      <c r="N61" s="7">
        <v>790</v>
      </c>
      <c r="O61" s="7">
        <v>790</v>
      </c>
      <c r="P61" s="7">
        <v>790</v>
      </c>
      <c r="Q61" s="7">
        <v>790</v>
      </c>
      <c r="R61" s="7">
        <v>790</v>
      </c>
      <c r="S61" s="7">
        <v>790</v>
      </c>
      <c r="T61" s="7">
        <v>790</v>
      </c>
      <c r="U61" s="7">
        <v>790</v>
      </c>
      <c r="V61" s="7">
        <v>790</v>
      </c>
      <c r="W61" s="7">
        <v>790</v>
      </c>
      <c r="X61" s="7">
        <v>790</v>
      </c>
      <c r="Y61" s="7">
        <v>790</v>
      </c>
      <c r="Z61" s="7">
        <v>790</v>
      </c>
      <c r="AA61" s="7">
        <v>790</v>
      </c>
      <c r="AB61" s="7">
        <v>790</v>
      </c>
      <c r="AC61" s="7">
        <v>790</v>
      </c>
      <c r="AD61" s="7">
        <v>790</v>
      </c>
      <c r="AE61" s="7">
        <v>790</v>
      </c>
      <c r="AF61" s="7">
        <v>790</v>
      </c>
      <c r="AG61" s="7">
        <v>790</v>
      </c>
      <c r="AH61" s="7">
        <v>790</v>
      </c>
      <c r="AI61" s="7">
        <v>790</v>
      </c>
      <c r="AJ61" s="7">
        <v>790</v>
      </c>
      <c r="AK61" s="7">
        <v>790</v>
      </c>
      <c r="AL61" s="7">
        <v>790</v>
      </c>
      <c r="AM61" s="7">
        <v>790</v>
      </c>
      <c r="AN61" s="7">
        <v>790</v>
      </c>
      <c r="AO61" s="7">
        <v>790</v>
      </c>
      <c r="AP61" s="7">
        <v>790</v>
      </c>
      <c r="AQ61" s="7">
        <v>790</v>
      </c>
      <c r="AR61" s="7">
        <v>870</v>
      </c>
      <c r="AS61" s="7">
        <v>870</v>
      </c>
      <c r="AT61" s="7">
        <v>870</v>
      </c>
      <c r="AU61" s="7">
        <v>870</v>
      </c>
      <c r="AV61" s="7">
        <v>870</v>
      </c>
      <c r="AW61" s="7">
        <v>870</v>
      </c>
      <c r="AX61" s="7">
        <v>870</v>
      </c>
      <c r="AY61" s="7">
        <v>870</v>
      </c>
      <c r="AZ61" s="7">
        <v>870</v>
      </c>
      <c r="BA61" s="7">
        <v>870</v>
      </c>
      <c r="BB61" s="7">
        <v>870</v>
      </c>
      <c r="BC61" s="92">
        <v>870</v>
      </c>
      <c r="BD61" s="92">
        <v>870</v>
      </c>
      <c r="BE61" s="92">
        <v>870</v>
      </c>
      <c r="BF61" s="92">
        <v>870</v>
      </c>
      <c r="BG61" s="92">
        <v>870</v>
      </c>
      <c r="BH61" s="92">
        <v>870</v>
      </c>
      <c r="BI61" s="92">
        <v>870</v>
      </c>
      <c r="BJ61" s="92">
        <v>870</v>
      </c>
      <c r="BK61" s="92">
        <v>870</v>
      </c>
      <c r="BL61" s="92">
        <v>870</v>
      </c>
      <c r="BM61" s="92">
        <v>870</v>
      </c>
      <c r="BN61" s="92">
        <v>870</v>
      </c>
      <c r="BO61" s="92">
        <v>870</v>
      </c>
      <c r="BP61" s="92">
        <v>870</v>
      </c>
      <c r="BQ61" s="92">
        <v>870</v>
      </c>
      <c r="BR61" s="92">
        <v>870</v>
      </c>
      <c r="BS61" s="92">
        <v>870</v>
      </c>
      <c r="BT61" s="92">
        <v>870</v>
      </c>
      <c r="BU61" s="92">
        <v>870</v>
      </c>
      <c r="BV61" s="92">
        <v>870</v>
      </c>
      <c r="BW61" s="92">
        <v>870</v>
      </c>
      <c r="BX61" s="92">
        <v>870</v>
      </c>
      <c r="BY61" s="92">
        <v>870</v>
      </c>
      <c r="BZ61" s="92">
        <v>870</v>
      </c>
      <c r="CA61" s="92">
        <v>870</v>
      </c>
      <c r="CB61" s="92">
        <v>870</v>
      </c>
      <c r="CC61" s="92">
        <v>870</v>
      </c>
      <c r="CD61" s="92">
        <v>870</v>
      </c>
      <c r="CE61" s="92">
        <v>870</v>
      </c>
      <c r="CF61" s="92">
        <v>870</v>
      </c>
      <c r="CG61" s="92">
        <v>870</v>
      </c>
      <c r="CH61" s="92">
        <v>870</v>
      </c>
      <c r="CI61" s="92">
        <v>870</v>
      </c>
      <c r="CJ61" s="92">
        <v>870</v>
      </c>
      <c r="CK61" s="92">
        <v>1760</v>
      </c>
      <c r="CL61" s="92">
        <v>1760</v>
      </c>
      <c r="CM61" s="92">
        <v>1760</v>
      </c>
      <c r="CN61" s="92">
        <v>1760</v>
      </c>
      <c r="CO61" s="92">
        <v>1760</v>
      </c>
      <c r="CP61" s="92">
        <v>790</v>
      </c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8">
        <f>970+1760*3</f>
        <v>6250</v>
      </c>
      <c r="DE61" s="38"/>
      <c r="DF61" s="113"/>
      <c r="DH61" s="8">
        <f>+SUM(BC61:DC61)</f>
        <v>39170</v>
      </c>
      <c r="DP61" s="9">
        <v>870</v>
      </c>
      <c r="DT61" s="9">
        <v>1760</v>
      </c>
      <c r="FN61" s="7">
        <v>870</v>
      </c>
    </row>
    <row r="62" spans="1:170" s="9" customFormat="1" ht="13.5" x14ac:dyDescent="0.25">
      <c r="A62" s="16">
        <v>10</v>
      </c>
      <c r="B62" s="7" t="s">
        <v>63</v>
      </c>
      <c r="C62" s="8" t="s">
        <v>161</v>
      </c>
      <c r="D62" s="7">
        <v>10</v>
      </c>
      <c r="E62" s="7">
        <v>850</v>
      </c>
      <c r="F62" s="7">
        <v>850</v>
      </c>
      <c r="G62" s="7">
        <v>850</v>
      </c>
      <c r="H62" s="7">
        <v>850</v>
      </c>
      <c r="I62" s="7">
        <v>850</v>
      </c>
      <c r="J62" s="7">
        <v>850</v>
      </c>
      <c r="K62" s="7">
        <v>850</v>
      </c>
      <c r="L62" s="7">
        <v>850</v>
      </c>
      <c r="M62" s="7">
        <v>850</v>
      </c>
      <c r="N62" s="7">
        <v>850</v>
      </c>
      <c r="O62" s="7">
        <v>850</v>
      </c>
      <c r="P62" s="7">
        <v>850</v>
      </c>
      <c r="Q62" s="7">
        <v>850</v>
      </c>
      <c r="R62" s="7">
        <v>850</v>
      </c>
      <c r="S62" s="7">
        <v>850</v>
      </c>
      <c r="T62" s="7">
        <v>850</v>
      </c>
      <c r="U62" s="7">
        <v>850</v>
      </c>
      <c r="V62" s="7">
        <v>850</v>
      </c>
      <c r="W62" s="7">
        <v>850</v>
      </c>
      <c r="X62" s="7">
        <v>850</v>
      </c>
      <c r="Y62" s="7">
        <v>850</v>
      </c>
      <c r="Z62" s="7">
        <v>850</v>
      </c>
      <c r="AA62" s="7">
        <v>850</v>
      </c>
      <c r="AB62" s="7">
        <v>850</v>
      </c>
      <c r="AC62" s="7">
        <v>850</v>
      </c>
      <c r="AD62" s="7">
        <v>850</v>
      </c>
      <c r="AE62" s="7">
        <v>850</v>
      </c>
      <c r="AF62" s="7">
        <v>850</v>
      </c>
      <c r="AG62" s="7">
        <v>850</v>
      </c>
      <c r="AH62" s="7">
        <v>850</v>
      </c>
      <c r="AI62" s="7">
        <v>950</v>
      </c>
      <c r="AJ62" s="7">
        <v>950</v>
      </c>
      <c r="AK62" s="7">
        <v>950</v>
      </c>
      <c r="AL62" s="7">
        <v>850</v>
      </c>
      <c r="AM62" s="7">
        <v>850</v>
      </c>
      <c r="AN62" s="7">
        <v>850</v>
      </c>
      <c r="AO62" s="7">
        <v>850</v>
      </c>
      <c r="AP62" s="7">
        <v>850</v>
      </c>
      <c r="AQ62" s="7">
        <v>850</v>
      </c>
      <c r="AR62" s="7">
        <v>850</v>
      </c>
      <c r="AS62" s="7">
        <v>850</v>
      </c>
      <c r="AT62" s="7">
        <v>850</v>
      </c>
      <c r="AU62" s="7">
        <v>850</v>
      </c>
      <c r="AV62" s="7">
        <v>850</v>
      </c>
      <c r="AW62" s="7">
        <v>850</v>
      </c>
      <c r="AX62" s="7">
        <v>850</v>
      </c>
      <c r="AY62" s="7">
        <v>850</v>
      </c>
      <c r="AZ62" s="92">
        <v>850</v>
      </c>
      <c r="BA62" s="92">
        <v>850</v>
      </c>
      <c r="BB62" s="92">
        <v>850</v>
      </c>
      <c r="BC62" s="92">
        <v>850</v>
      </c>
      <c r="BD62" s="92">
        <v>850</v>
      </c>
      <c r="BE62" s="92">
        <v>850</v>
      </c>
      <c r="BF62" s="92">
        <v>850</v>
      </c>
      <c r="BG62" s="92">
        <v>850</v>
      </c>
      <c r="BH62" s="92">
        <v>850</v>
      </c>
      <c r="BI62" s="92">
        <v>850</v>
      </c>
      <c r="BJ62" s="92">
        <v>850</v>
      </c>
      <c r="BK62" s="92">
        <v>850</v>
      </c>
      <c r="BL62" s="92">
        <v>850</v>
      </c>
      <c r="BM62" s="92">
        <v>850</v>
      </c>
      <c r="BN62" s="92">
        <v>950</v>
      </c>
      <c r="BO62" s="92">
        <v>850</v>
      </c>
      <c r="BP62" s="92">
        <v>850</v>
      </c>
      <c r="BQ62" s="92">
        <v>850</v>
      </c>
      <c r="BR62" s="92">
        <v>850</v>
      </c>
      <c r="BS62" s="92">
        <v>850</v>
      </c>
      <c r="BT62" s="92">
        <v>950</v>
      </c>
      <c r="BU62" s="92">
        <v>950</v>
      </c>
      <c r="BV62" s="92">
        <v>950</v>
      </c>
      <c r="BW62" s="92">
        <v>950</v>
      </c>
      <c r="BX62" s="92">
        <v>950</v>
      </c>
      <c r="BY62" s="92">
        <v>950</v>
      </c>
      <c r="BZ62" s="92">
        <v>950</v>
      </c>
      <c r="CA62" s="92">
        <v>950</v>
      </c>
      <c r="CB62" s="92">
        <v>950</v>
      </c>
      <c r="CC62" s="92">
        <v>950</v>
      </c>
      <c r="CD62" s="92">
        <v>870</v>
      </c>
      <c r="CE62" s="92">
        <v>870</v>
      </c>
      <c r="CF62" s="92">
        <v>870</v>
      </c>
      <c r="CG62" s="92">
        <v>870</v>
      </c>
      <c r="CH62" s="92">
        <v>870</v>
      </c>
      <c r="CI62" s="92">
        <v>870</v>
      </c>
      <c r="CJ62" s="92">
        <v>840</v>
      </c>
      <c r="CK62" s="92">
        <v>6600</v>
      </c>
      <c r="CL62" s="92">
        <v>1600</v>
      </c>
      <c r="CM62" s="92">
        <v>1600</v>
      </c>
      <c r="CN62" s="92">
        <v>1600</v>
      </c>
      <c r="CO62" s="92">
        <v>1600</v>
      </c>
      <c r="CP62" s="92">
        <v>1600</v>
      </c>
      <c r="CQ62" s="92">
        <v>1600</v>
      </c>
      <c r="CR62" s="92">
        <v>1600</v>
      </c>
      <c r="CS62" s="92">
        <v>1600</v>
      </c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8">
        <v>0</v>
      </c>
      <c r="DE62" s="40"/>
      <c r="DF62" s="111">
        <v>5000</v>
      </c>
      <c r="DH62" s="8">
        <f>+SUM(AZ62:DC62)</f>
        <v>52060</v>
      </c>
      <c r="DP62" s="9">
        <f t="shared" si="0"/>
        <v>840</v>
      </c>
      <c r="DT62" s="9">
        <v>1600</v>
      </c>
      <c r="FN62" s="7">
        <v>850</v>
      </c>
    </row>
    <row r="63" spans="1:170" s="9" customFormat="1" ht="13.5" x14ac:dyDescent="0.25">
      <c r="A63" s="16">
        <v>11</v>
      </c>
      <c r="B63" s="7" t="s">
        <v>63</v>
      </c>
      <c r="C63" s="8" t="s">
        <v>164</v>
      </c>
      <c r="D63" s="7">
        <v>11</v>
      </c>
      <c r="E63" s="7">
        <v>850</v>
      </c>
      <c r="F63" s="7">
        <v>850</v>
      </c>
      <c r="G63" s="7">
        <v>850</v>
      </c>
      <c r="H63" s="7">
        <v>850</v>
      </c>
      <c r="I63" s="7">
        <v>850</v>
      </c>
      <c r="J63" s="7">
        <v>850</v>
      </c>
      <c r="K63" s="7">
        <v>850</v>
      </c>
      <c r="L63" s="7">
        <v>850</v>
      </c>
      <c r="M63" s="7">
        <v>850</v>
      </c>
      <c r="N63" s="7">
        <v>850</v>
      </c>
      <c r="O63" s="7">
        <v>850</v>
      </c>
      <c r="P63" s="7">
        <v>850</v>
      </c>
      <c r="Q63" s="7">
        <v>850</v>
      </c>
      <c r="R63" s="7">
        <v>850</v>
      </c>
      <c r="S63" s="7">
        <v>850</v>
      </c>
      <c r="T63" s="7">
        <v>850</v>
      </c>
      <c r="U63" s="7">
        <v>850</v>
      </c>
      <c r="V63" s="7">
        <v>850</v>
      </c>
      <c r="W63" s="7">
        <v>850</v>
      </c>
      <c r="X63" s="7">
        <v>850</v>
      </c>
      <c r="Y63" s="7">
        <v>850</v>
      </c>
      <c r="Z63" s="7">
        <v>850</v>
      </c>
      <c r="AA63" s="7">
        <v>850</v>
      </c>
      <c r="AB63" s="7">
        <v>850</v>
      </c>
      <c r="AC63" s="7">
        <v>850</v>
      </c>
      <c r="AD63" s="7">
        <v>850</v>
      </c>
      <c r="AE63" s="7">
        <v>850</v>
      </c>
      <c r="AF63" s="7">
        <v>850</v>
      </c>
      <c r="AG63" s="7">
        <v>850</v>
      </c>
      <c r="AH63" s="7">
        <v>850</v>
      </c>
      <c r="AI63" s="7">
        <v>870</v>
      </c>
      <c r="AJ63" s="7">
        <v>850</v>
      </c>
      <c r="AK63" s="7">
        <v>850</v>
      </c>
      <c r="AL63" s="7">
        <v>850</v>
      </c>
      <c r="AM63" s="7">
        <v>850</v>
      </c>
      <c r="AN63" s="7">
        <v>850</v>
      </c>
      <c r="AO63" s="7">
        <v>850</v>
      </c>
      <c r="AP63" s="7">
        <v>950</v>
      </c>
      <c r="AQ63" s="7">
        <v>950</v>
      </c>
      <c r="AR63" s="7">
        <v>950</v>
      </c>
      <c r="AS63" s="7">
        <v>850</v>
      </c>
      <c r="AT63" s="7">
        <v>850</v>
      </c>
      <c r="AU63" s="7">
        <v>850</v>
      </c>
      <c r="AV63" s="7">
        <v>850</v>
      </c>
      <c r="AW63" s="7">
        <v>850</v>
      </c>
      <c r="AX63" s="7">
        <v>850</v>
      </c>
      <c r="AY63" s="92">
        <v>850</v>
      </c>
      <c r="AZ63" s="92">
        <v>850</v>
      </c>
      <c r="BA63" s="92">
        <v>850</v>
      </c>
      <c r="BB63" s="92">
        <v>850</v>
      </c>
      <c r="BC63" s="92">
        <v>950</v>
      </c>
      <c r="BD63" s="92">
        <v>950</v>
      </c>
      <c r="BE63" s="92">
        <v>950</v>
      </c>
      <c r="BF63" s="92">
        <v>950</v>
      </c>
      <c r="BG63" s="92">
        <v>950</v>
      </c>
      <c r="BH63" s="92">
        <v>950</v>
      </c>
      <c r="BI63" s="92">
        <v>950</v>
      </c>
      <c r="BJ63" s="92">
        <v>950</v>
      </c>
      <c r="BK63" s="92">
        <v>950</v>
      </c>
      <c r="BL63" s="92">
        <v>950</v>
      </c>
      <c r="BM63" s="92">
        <v>950</v>
      </c>
      <c r="BN63" s="92">
        <v>950</v>
      </c>
      <c r="BO63" s="92">
        <v>950</v>
      </c>
      <c r="BP63" s="92">
        <v>950</v>
      </c>
      <c r="BQ63" s="92">
        <v>950</v>
      </c>
      <c r="BR63" s="92">
        <v>950</v>
      </c>
      <c r="BS63" s="92">
        <v>950</v>
      </c>
      <c r="BT63" s="92">
        <v>950</v>
      </c>
      <c r="BU63" s="92">
        <v>950</v>
      </c>
      <c r="BV63" s="92">
        <v>950</v>
      </c>
      <c r="BW63" s="92">
        <v>950</v>
      </c>
      <c r="BX63" s="92">
        <v>950</v>
      </c>
      <c r="BY63" s="92">
        <v>950</v>
      </c>
      <c r="BZ63" s="92">
        <v>950</v>
      </c>
      <c r="CA63" s="92">
        <v>950</v>
      </c>
      <c r="CB63" s="92">
        <v>30950</v>
      </c>
      <c r="CC63" s="92">
        <v>950</v>
      </c>
      <c r="CD63" s="92">
        <v>950</v>
      </c>
      <c r="CE63" s="92">
        <v>950</v>
      </c>
      <c r="CF63" s="92">
        <v>950</v>
      </c>
      <c r="CG63" s="92">
        <f>950+393</f>
        <v>1343</v>
      </c>
      <c r="CH63" s="92">
        <v>950</v>
      </c>
      <c r="CI63" s="92">
        <v>950</v>
      </c>
      <c r="CJ63" s="92">
        <v>950</v>
      </c>
      <c r="CK63" s="92">
        <v>6600</v>
      </c>
      <c r="CL63" s="92">
        <v>1600</v>
      </c>
      <c r="CM63" s="92">
        <v>1600</v>
      </c>
      <c r="CN63" s="92">
        <v>1600</v>
      </c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8">
        <f>1600*5</f>
        <v>8000</v>
      </c>
      <c r="DE63" s="17" t="s">
        <v>115</v>
      </c>
      <c r="DF63" s="111">
        <v>5000</v>
      </c>
      <c r="DH63" s="8">
        <f>+SUM(AY63:DC63)</f>
        <v>77493</v>
      </c>
      <c r="DP63" s="9">
        <v>850</v>
      </c>
      <c r="DT63" s="9">
        <v>1600</v>
      </c>
      <c r="FN63" s="7">
        <v>950</v>
      </c>
    </row>
    <row r="64" spans="1:170" s="9" customFormat="1" ht="13.5" x14ac:dyDescent="0.25">
      <c r="A64" s="16">
        <v>12</v>
      </c>
      <c r="B64" s="7" t="s">
        <v>63</v>
      </c>
      <c r="C64" s="8" t="s">
        <v>23</v>
      </c>
      <c r="D64" s="7">
        <v>12</v>
      </c>
      <c r="E64" s="7">
        <v>870</v>
      </c>
      <c r="F64" s="7">
        <v>870</v>
      </c>
      <c r="G64" s="7">
        <v>870</v>
      </c>
      <c r="H64" s="7">
        <v>870</v>
      </c>
      <c r="I64" s="7">
        <v>870</v>
      </c>
      <c r="J64" s="7">
        <v>870</v>
      </c>
      <c r="K64" s="7">
        <v>840</v>
      </c>
      <c r="L64" s="7">
        <v>840</v>
      </c>
      <c r="M64" s="7">
        <v>840</v>
      </c>
      <c r="N64" s="7">
        <v>840</v>
      </c>
      <c r="O64" s="7">
        <v>840</v>
      </c>
      <c r="P64" s="7">
        <v>840</v>
      </c>
      <c r="Q64" s="7">
        <v>840</v>
      </c>
      <c r="R64" s="7">
        <v>840</v>
      </c>
      <c r="S64" s="7">
        <v>840</v>
      </c>
      <c r="T64" s="7">
        <v>840</v>
      </c>
      <c r="U64" s="7">
        <v>840</v>
      </c>
      <c r="V64" s="7">
        <v>840</v>
      </c>
      <c r="W64" s="7">
        <v>870</v>
      </c>
      <c r="X64" s="7">
        <v>870</v>
      </c>
      <c r="Y64" s="7">
        <v>870</v>
      </c>
      <c r="Z64" s="7">
        <v>870</v>
      </c>
      <c r="AA64" s="7">
        <v>870</v>
      </c>
      <c r="AB64" s="7">
        <v>870</v>
      </c>
      <c r="AC64" s="7">
        <v>870</v>
      </c>
      <c r="AD64" s="7">
        <v>870</v>
      </c>
      <c r="AE64" s="7">
        <v>870</v>
      </c>
      <c r="AF64" s="7">
        <v>870</v>
      </c>
      <c r="AG64" s="7">
        <v>870</v>
      </c>
      <c r="AH64" s="7">
        <v>870</v>
      </c>
      <c r="AI64" s="7">
        <v>870</v>
      </c>
      <c r="AJ64" s="7">
        <v>870</v>
      </c>
      <c r="AK64" s="7">
        <v>870</v>
      </c>
      <c r="AL64" s="7">
        <v>870</v>
      </c>
      <c r="AM64" s="7">
        <v>870</v>
      </c>
      <c r="AN64" s="7">
        <v>870</v>
      </c>
      <c r="AO64" s="7">
        <v>870</v>
      </c>
      <c r="AP64" s="7">
        <v>870</v>
      </c>
      <c r="AQ64" s="92">
        <v>870</v>
      </c>
      <c r="AR64" s="7">
        <v>870</v>
      </c>
      <c r="AS64" s="7">
        <v>870</v>
      </c>
      <c r="AT64" s="7">
        <v>870</v>
      </c>
      <c r="AU64" s="7">
        <v>870</v>
      </c>
      <c r="AV64" s="7">
        <v>870</v>
      </c>
      <c r="AW64" s="7">
        <v>870</v>
      </c>
      <c r="AX64" s="92">
        <v>870</v>
      </c>
      <c r="AY64" s="92">
        <v>870</v>
      </c>
      <c r="AZ64" s="92">
        <v>870</v>
      </c>
      <c r="BA64" s="92">
        <v>870</v>
      </c>
      <c r="BB64" s="92">
        <v>870</v>
      </c>
      <c r="BC64" s="92">
        <v>870</v>
      </c>
      <c r="BD64" s="92">
        <v>870</v>
      </c>
      <c r="BE64" s="92">
        <v>870</v>
      </c>
      <c r="BF64" s="92">
        <v>870</v>
      </c>
      <c r="BG64" s="92">
        <v>870</v>
      </c>
      <c r="BH64" s="92">
        <v>870</v>
      </c>
      <c r="BI64" s="92">
        <v>870</v>
      </c>
      <c r="BJ64" s="92">
        <v>870</v>
      </c>
      <c r="BK64" s="92">
        <v>870</v>
      </c>
      <c r="BL64" s="92">
        <v>870</v>
      </c>
      <c r="BM64" s="92">
        <v>870</v>
      </c>
      <c r="BN64" s="92">
        <v>870</v>
      </c>
      <c r="BO64" s="92">
        <v>870</v>
      </c>
      <c r="BP64" s="92">
        <v>870</v>
      </c>
      <c r="BQ64" s="92">
        <v>870</v>
      </c>
      <c r="BR64" s="92">
        <v>870</v>
      </c>
      <c r="BS64" s="92">
        <v>870</v>
      </c>
      <c r="BT64" s="92">
        <v>870</v>
      </c>
      <c r="BU64" s="92">
        <v>870</v>
      </c>
      <c r="BV64" s="92">
        <v>870</v>
      </c>
      <c r="BW64" s="92">
        <v>870</v>
      </c>
      <c r="BX64" s="92">
        <v>870</v>
      </c>
      <c r="BY64" s="92">
        <v>870</v>
      </c>
      <c r="BZ64" s="92">
        <v>870</v>
      </c>
      <c r="CA64" s="92">
        <v>870</v>
      </c>
      <c r="CB64" s="92">
        <v>870</v>
      </c>
      <c r="CC64" s="92">
        <v>870</v>
      </c>
      <c r="CD64" s="92">
        <v>870</v>
      </c>
      <c r="CE64" s="92">
        <v>870</v>
      </c>
      <c r="CF64" s="92">
        <v>870</v>
      </c>
      <c r="CG64" s="92">
        <v>870</v>
      </c>
      <c r="CH64" s="92">
        <v>870</v>
      </c>
      <c r="CI64" s="92">
        <v>870</v>
      </c>
      <c r="CJ64" s="92">
        <v>870</v>
      </c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8">
        <f>1670*9</f>
        <v>15030</v>
      </c>
      <c r="DE64" s="18">
        <v>44166</v>
      </c>
      <c r="DF64" s="113"/>
      <c r="DH64" s="8">
        <f>+SUM(AX64:DC64)+AQ64</f>
        <v>34800</v>
      </c>
      <c r="DP64" s="9">
        <v>870</v>
      </c>
      <c r="DT64" s="9">
        <v>1760</v>
      </c>
      <c r="FN64" s="7">
        <v>870</v>
      </c>
    </row>
    <row r="65" spans="1:170" s="9" customFormat="1" ht="13.5" x14ac:dyDescent="0.25">
      <c r="A65" s="16">
        <v>13</v>
      </c>
      <c r="B65" s="7" t="s">
        <v>63</v>
      </c>
      <c r="C65" s="8" t="s">
        <v>24</v>
      </c>
      <c r="D65" s="7">
        <v>13</v>
      </c>
      <c r="E65" s="7">
        <v>790</v>
      </c>
      <c r="F65" s="7">
        <v>790</v>
      </c>
      <c r="G65" s="7">
        <v>790</v>
      </c>
      <c r="H65" s="7">
        <v>790</v>
      </c>
      <c r="I65" s="7">
        <v>790</v>
      </c>
      <c r="J65" s="7">
        <v>790</v>
      </c>
      <c r="K65" s="7">
        <v>790</v>
      </c>
      <c r="L65" s="7">
        <v>790</v>
      </c>
      <c r="M65" s="7">
        <v>790</v>
      </c>
      <c r="N65" s="7">
        <v>790</v>
      </c>
      <c r="O65" s="7">
        <v>790</v>
      </c>
      <c r="P65" s="7">
        <v>790</v>
      </c>
      <c r="Q65" s="7">
        <v>790</v>
      </c>
      <c r="R65" s="7">
        <v>790</v>
      </c>
      <c r="S65" s="7">
        <v>790</v>
      </c>
      <c r="T65" s="7">
        <v>790</v>
      </c>
      <c r="U65" s="7">
        <v>790</v>
      </c>
      <c r="V65" s="7">
        <v>790</v>
      </c>
      <c r="W65" s="7">
        <v>790</v>
      </c>
      <c r="X65" s="7">
        <v>790</v>
      </c>
      <c r="Y65" s="7">
        <v>790</v>
      </c>
      <c r="Z65" s="7">
        <v>790</v>
      </c>
      <c r="AA65" s="7">
        <v>790</v>
      </c>
      <c r="AB65" s="7">
        <v>790</v>
      </c>
      <c r="AC65" s="7">
        <v>790</v>
      </c>
      <c r="AD65" s="7">
        <v>790</v>
      </c>
      <c r="AE65" s="7">
        <v>790</v>
      </c>
      <c r="AF65" s="7">
        <v>790</v>
      </c>
      <c r="AG65" s="7">
        <v>790</v>
      </c>
      <c r="AH65" s="7">
        <v>790</v>
      </c>
      <c r="AI65" s="7">
        <v>790</v>
      </c>
      <c r="AJ65" s="7">
        <v>790</v>
      </c>
      <c r="AK65" s="7">
        <v>790</v>
      </c>
      <c r="AL65" s="7">
        <v>790</v>
      </c>
      <c r="AM65" s="7">
        <v>790</v>
      </c>
      <c r="AN65" s="7">
        <v>790</v>
      </c>
      <c r="AO65" s="7">
        <v>790</v>
      </c>
      <c r="AP65" s="7">
        <v>790</v>
      </c>
      <c r="AQ65" s="7">
        <v>790</v>
      </c>
      <c r="AR65" s="7">
        <v>790</v>
      </c>
      <c r="AS65" s="7">
        <v>790</v>
      </c>
      <c r="AT65" s="7">
        <v>790</v>
      </c>
      <c r="AU65" s="7">
        <v>790</v>
      </c>
      <c r="AV65" s="7">
        <v>790</v>
      </c>
      <c r="AW65" s="7">
        <v>790</v>
      </c>
      <c r="AX65" s="7">
        <v>790</v>
      </c>
      <c r="AY65" s="7">
        <v>790</v>
      </c>
      <c r="AZ65" s="7">
        <v>790</v>
      </c>
      <c r="BA65" s="7">
        <v>790</v>
      </c>
      <c r="BB65" s="7">
        <v>790</v>
      </c>
      <c r="BC65" s="7">
        <v>790</v>
      </c>
      <c r="BD65" s="7">
        <v>790</v>
      </c>
      <c r="BE65" s="7">
        <v>790</v>
      </c>
      <c r="BF65" s="7">
        <v>790</v>
      </c>
      <c r="BG65" s="92">
        <v>790</v>
      </c>
      <c r="BH65" s="92">
        <v>790</v>
      </c>
      <c r="BI65" s="92">
        <v>790</v>
      </c>
      <c r="BJ65" s="92">
        <v>790</v>
      </c>
      <c r="BK65" s="92">
        <v>790</v>
      </c>
      <c r="BL65" s="92">
        <v>790</v>
      </c>
      <c r="BM65" s="92">
        <v>790</v>
      </c>
      <c r="BN65" s="92">
        <v>790</v>
      </c>
      <c r="BO65" s="92">
        <v>790</v>
      </c>
      <c r="BP65" s="92">
        <v>790</v>
      </c>
      <c r="BQ65" s="92">
        <v>790</v>
      </c>
      <c r="BR65" s="92">
        <v>790</v>
      </c>
      <c r="BS65" s="92">
        <v>790</v>
      </c>
      <c r="BT65" s="92">
        <v>790</v>
      </c>
      <c r="BU65" s="92">
        <v>790</v>
      </c>
      <c r="BV65" s="92">
        <v>790</v>
      </c>
      <c r="BW65" s="92">
        <v>790</v>
      </c>
      <c r="BX65" s="92">
        <v>790</v>
      </c>
      <c r="BY65" s="92">
        <v>790</v>
      </c>
      <c r="BZ65" s="92">
        <v>790</v>
      </c>
      <c r="CA65" s="92">
        <v>790</v>
      </c>
      <c r="CB65" s="92">
        <v>790</v>
      </c>
      <c r="CC65" s="92">
        <v>790</v>
      </c>
      <c r="CD65" s="92">
        <v>790</v>
      </c>
      <c r="CE65" s="92">
        <v>790</v>
      </c>
      <c r="CF65" s="92">
        <v>790</v>
      </c>
      <c r="CG65" s="92">
        <v>790</v>
      </c>
      <c r="CH65" s="92">
        <v>790</v>
      </c>
      <c r="CI65" s="92">
        <v>790</v>
      </c>
      <c r="CJ65" s="92">
        <v>790</v>
      </c>
      <c r="CK65" s="92">
        <v>790</v>
      </c>
      <c r="CL65" s="92">
        <v>790</v>
      </c>
      <c r="CM65" s="92">
        <v>790</v>
      </c>
      <c r="CN65" s="92">
        <v>790</v>
      </c>
      <c r="CO65" s="92">
        <v>790</v>
      </c>
      <c r="CP65" s="92">
        <v>790</v>
      </c>
      <c r="CQ65" s="92">
        <v>1600</v>
      </c>
      <c r="CR65" s="92">
        <v>1600</v>
      </c>
      <c r="CS65" s="92">
        <v>1600</v>
      </c>
      <c r="CT65" s="92">
        <v>1600</v>
      </c>
      <c r="CU65" s="92">
        <v>1600</v>
      </c>
      <c r="CV65" s="92">
        <v>1600</v>
      </c>
      <c r="CW65" s="92">
        <v>1600</v>
      </c>
      <c r="CX65" s="92">
        <v>1600</v>
      </c>
      <c r="CY65" s="92">
        <v>1600</v>
      </c>
      <c r="CZ65" s="92">
        <v>1600</v>
      </c>
      <c r="DA65" s="92">
        <v>1600</v>
      </c>
      <c r="DB65" s="92">
        <v>1600</v>
      </c>
      <c r="DC65" s="7"/>
      <c r="DD65" s="8">
        <v>3260</v>
      </c>
      <c r="DE65" s="38"/>
      <c r="DF65" s="113"/>
      <c r="DH65" s="8">
        <f>+SUM(BG65:DC65)</f>
        <v>47640</v>
      </c>
      <c r="DP65" s="9">
        <f t="shared" si="0"/>
        <v>790</v>
      </c>
      <c r="DT65" s="9">
        <v>1600</v>
      </c>
      <c r="FN65" s="7">
        <v>790</v>
      </c>
    </row>
    <row r="66" spans="1:170" s="9" customFormat="1" ht="13.5" x14ac:dyDescent="0.25">
      <c r="A66" s="16">
        <v>14</v>
      </c>
      <c r="B66" s="7" t="s">
        <v>63</v>
      </c>
      <c r="C66" s="8" t="s">
        <v>25</v>
      </c>
      <c r="D66" s="7">
        <v>14</v>
      </c>
      <c r="E66" s="7">
        <v>850</v>
      </c>
      <c r="F66" s="7">
        <v>850</v>
      </c>
      <c r="G66" s="7">
        <v>850</v>
      </c>
      <c r="H66" s="7">
        <v>850</v>
      </c>
      <c r="I66" s="7">
        <v>850</v>
      </c>
      <c r="J66" s="7">
        <v>850</v>
      </c>
      <c r="K66" s="7">
        <v>850</v>
      </c>
      <c r="L66" s="7">
        <v>850</v>
      </c>
      <c r="M66" s="7">
        <v>850</v>
      </c>
      <c r="N66" s="7">
        <v>850</v>
      </c>
      <c r="O66" s="7">
        <v>850</v>
      </c>
      <c r="P66" s="7">
        <v>850</v>
      </c>
      <c r="Q66" s="7">
        <v>850</v>
      </c>
      <c r="R66" s="7">
        <v>850</v>
      </c>
      <c r="S66" s="7">
        <v>850</v>
      </c>
      <c r="T66" s="7">
        <v>850</v>
      </c>
      <c r="U66" s="7">
        <v>850</v>
      </c>
      <c r="V66" s="7">
        <v>850</v>
      </c>
      <c r="W66" s="7">
        <v>850</v>
      </c>
      <c r="X66" s="7">
        <v>850</v>
      </c>
      <c r="Y66" s="7">
        <v>850</v>
      </c>
      <c r="Z66" s="7">
        <v>850</v>
      </c>
      <c r="AA66" s="7">
        <v>850</v>
      </c>
      <c r="AB66" s="7">
        <v>850</v>
      </c>
      <c r="AC66" s="7">
        <v>850</v>
      </c>
      <c r="AD66" s="7">
        <v>850</v>
      </c>
      <c r="AE66" s="7">
        <v>850</v>
      </c>
      <c r="AF66" s="7">
        <v>850</v>
      </c>
      <c r="AG66" s="7">
        <v>850</v>
      </c>
      <c r="AH66" s="7">
        <v>850</v>
      </c>
      <c r="AI66" s="7">
        <v>850</v>
      </c>
      <c r="AJ66" s="7">
        <v>850</v>
      </c>
      <c r="AK66" s="7">
        <v>850</v>
      </c>
      <c r="AL66" s="7">
        <v>850</v>
      </c>
      <c r="AM66" s="7">
        <v>850</v>
      </c>
      <c r="AN66" s="7">
        <v>850</v>
      </c>
      <c r="AO66" s="7">
        <v>850</v>
      </c>
      <c r="AP66" s="7">
        <v>850</v>
      </c>
      <c r="AQ66" s="7">
        <v>850</v>
      </c>
      <c r="AR66" s="7">
        <v>850</v>
      </c>
      <c r="AS66" s="7">
        <v>850</v>
      </c>
      <c r="AT66" s="7">
        <v>850</v>
      </c>
      <c r="AU66" s="7">
        <v>850</v>
      </c>
      <c r="AV66" s="7">
        <v>850</v>
      </c>
      <c r="AW66" s="7">
        <v>850</v>
      </c>
      <c r="AX66" s="92">
        <v>850</v>
      </c>
      <c r="AY66" s="92">
        <v>850</v>
      </c>
      <c r="AZ66" s="92">
        <v>850</v>
      </c>
      <c r="BA66" s="92">
        <v>850</v>
      </c>
      <c r="BB66" s="92">
        <v>850</v>
      </c>
      <c r="BC66" s="92">
        <v>850</v>
      </c>
      <c r="BD66" s="92">
        <v>850</v>
      </c>
      <c r="BE66" s="92">
        <v>850</v>
      </c>
      <c r="BF66" s="92">
        <v>850</v>
      </c>
      <c r="BG66" s="92">
        <v>850</v>
      </c>
      <c r="BH66" s="92">
        <v>850</v>
      </c>
      <c r="BI66" s="92">
        <v>850</v>
      </c>
      <c r="BJ66" s="92">
        <v>850</v>
      </c>
      <c r="BK66" s="92">
        <v>850</v>
      </c>
      <c r="BL66" s="92">
        <v>850</v>
      </c>
      <c r="BM66" s="92">
        <v>850</v>
      </c>
      <c r="BN66" s="92">
        <v>850</v>
      </c>
      <c r="BO66" s="92">
        <v>850</v>
      </c>
      <c r="BP66" s="92">
        <v>850</v>
      </c>
      <c r="BQ66" s="92">
        <v>850</v>
      </c>
      <c r="BR66" s="92">
        <v>850</v>
      </c>
      <c r="BS66" s="92">
        <v>850</v>
      </c>
      <c r="BT66" s="92">
        <v>850</v>
      </c>
      <c r="BU66" s="92">
        <v>850</v>
      </c>
      <c r="BV66" s="92">
        <v>850</v>
      </c>
      <c r="BW66" s="92">
        <v>850</v>
      </c>
      <c r="BX66" s="92">
        <v>850</v>
      </c>
      <c r="BY66" s="92">
        <v>850</v>
      </c>
      <c r="BZ66" s="92">
        <v>850</v>
      </c>
      <c r="CA66" s="92">
        <v>850</v>
      </c>
      <c r="CB66" s="92">
        <v>850</v>
      </c>
      <c r="CC66" s="92">
        <v>850</v>
      </c>
      <c r="CD66" s="92">
        <v>850</v>
      </c>
      <c r="CE66" s="92">
        <v>850</v>
      </c>
      <c r="CF66" s="92">
        <v>850</v>
      </c>
      <c r="CG66" s="92">
        <v>850</v>
      </c>
      <c r="CH66" s="92">
        <v>850</v>
      </c>
      <c r="CI66" s="92">
        <v>850</v>
      </c>
      <c r="CJ66" s="92">
        <v>5850</v>
      </c>
      <c r="CK66" s="92">
        <f>850+750</f>
        <v>1600</v>
      </c>
      <c r="CL66" s="92">
        <f>850+750</f>
        <v>1600</v>
      </c>
      <c r="CM66" s="92">
        <v>1600</v>
      </c>
      <c r="CN66" s="92">
        <v>1600</v>
      </c>
      <c r="CO66" s="92">
        <v>1600</v>
      </c>
      <c r="CP66" s="92">
        <v>1600</v>
      </c>
      <c r="CQ66" s="92">
        <v>1600</v>
      </c>
      <c r="CR66" s="92">
        <v>1600</v>
      </c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8">
        <v>1600</v>
      </c>
      <c r="DE66" s="38"/>
      <c r="DF66" s="111">
        <v>5000</v>
      </c>
      <c r="DH66" s="8">
        <f>+SUM(AX66:DC66)</f>
        <v>50950</v>
      </c>
      <c r="DP66" s="9">
        <f t="shared" si="0"/>
        <v>5850</v>
      </c>
      <c r="DT66" s="9">
        <v>1600</v>
      </c>
      <c r="FN66" s="7">
        <v>850</v>
      </c>
    </row>
    <row r="67" spans="1:170" s="9" customFormat="1" ht="13.5" x14ac:dyDescent="0.25">
      <c r="A67" s="16">
        <v>15</v>
      </c>
      <c r="B67" s="7" t="s">
        <v>63</v>
      </c>
      <c r="C67" s="8" t="s">
        <v>26</v>
      </c>
      <c r="D67" s="7">
        <v>15</v>
      </c>
      <c r="E67" s="7">
        <v>850</v>
      </c>
      <c r="F67" s="7">
        <v>850</v>
      </c>
      <c r="G67" s="7">
        <v>850</v>
      </c>
      <c r="H67" s="7">
        <v>850</v>
      </c>
      <c r="I67" s="7">
        <v>850</v>
      </c>
      <c r="J67" s="7">
        <v>850</v>
      </c>
      <c r="K67" s="7">
        <v>850</v>
      </c>
      <c r="L67" s="7">
        <v>850</v>
      </c>
      <c r="M67" s="7">
        <v>850</v>
      </c>
      <c r="N67" s="7">
        <v>850</v>
      </c>
      <c r="O67" s="7">
        <v>850</v>
      </c>
      <c r="P67" s="7">
        <v>850</v>
      </c>
      <c r="Q67" s="7">
        <v>850</v>
      </c>
      <c r="R67" s="7">
        <v>850</v>
      </c>
      <c r="S67" s="7">
        <v>850</v>
      </c>
      <c r="T67" s="7">
        <v>850</v>
      </c>
      <c r="U67" s="7">
        <v>850</v>
      </c>
      <c r="V67" s="7">
        <v>850</v>
      </c>
      <c r="W67" s="7">
        <v>850</v>
      </c>
      <c r="X67" s="7">
        <v>850</v>
      </c>
      <c r="Y67" s="7">
        <v>850</v>
      </c>
      <c r="Z67" s="7">
        <v>850</v>
      </c>
      <c r="AA67" s="7">
        <v>850</v>
      </c>
      <c r="AB67" s="7">
        <v>850</v>
      </c>
      <c r="AC67" s="7">
        <v>850</v>
      </c>
      <c r="AD67" s="7">
        <v>850</v>
      </c>
      <c r="AE67" s="7">
        <v>850</v>
      </c>
      <c r="AF67" s="7">
        <v>850</v>
      </c>
      <c r="AG67" s="7">
        <v>850</v>
      </c>
      <c r="AH67" s="7">
        <v>850</v>
      </c>
      <c r="AI67" s="7">
        <v>850</v>
      </c>
      <c r="AJ67" s="7">
        <v>850</v>
      </c>
      <c r="AK67" s="7">
        <v>850</v>
      </c>
      <c r="AL67" s="7">
        <v>850</v>
      </c>
      <c r="AM67" s="7">
        <v>850</v>
      </c>
      <c r="AN67" s="7">
        <v>850</v>
      </c>
      <c r="AO67" s="7">
        <v>850</v>
      </c>
      <c r="AP67" s="7">
        <v>850</v>
      </c>
      <c r="AQ67" s="7">
        <v>850</v>
      </c>
      <c r="AR67" s="7">
        <v>850</v>
      </c>
      <c r="AS67" s="7">
        <v>850</v>
      </c>
      <c r="AT67" s="7">
        <v>850</v>
      </c>
      <c r="AU67" s="7">
        <v>850</v>
      </c>
      <c r="AV67" s="7">
        <v>850</v>
      </c>
      <c r="AW67" s="7">
        <v>850</v>
      </c>
      <c r="AX67" s="7">
        <v>850</v>
      </c>
      <c r="AY67" s="7">
        <v>850</v>
      </c>
      <c r="AZ67" s="92">
        <v>850</v>
      </c>
      <c r="BA67" s="92">
        <v>850</v>
      </c>
      <c r="BB67" s="92">
        <v>850</v>
      </c>
      <c r="BC67" s="92">
        <v>850</v>
      </c>
      <c r="BD67" s="92">
        <v>850</v>
      </c>
      <c r="BE67" s="92">
        <v>850</v>
      </c>
      <c r="BF67" s="92">
        <v>850</v>
      </c>
      <c r="BG67" s="92">
        <v>850</v>
      </c>
      <c r="BH67" s="92">
        <v>850</v>
      </c>
      <c r="BI67" s="92">
        <v>850</v>
      </c>
      <c r="BJ67" s="92">
        <v>850</v>
      </c>
      <c r="BK67" s="92">
        <v>850</v>
      </c>
      <c r="BL67" s="92">
        <v>850</v>
      </c>
      <c r="BM67" s="92">
        <v>850</v>
      </c>
      <c r="BN67" s="92">
        <v>850</v>
      </c>
      <c r="BO67" s="92">
        <v>850</v>
      </c>
      <c r="BP67" s="92">
        <v>850</v>
      </c>
      <c r="BQ67" s="92">
        <v>850</v>
      </c>
      <c r="BR67" s="92">
        <v>850</v>
      </c>
      <c r="BS67" s="92">
        <v>850</v>
      </c>
      <c r="BT67" s="92">
        <v>850</v>
      </c>
      <c r="BU67" s="92">
        <v>850</v>
      </c>
      <c r="BV67" s="92">
        <v>850</v>
      </c>
      <c r="BW67" s="92">
        <v>850</v>
      </c>
      <c r="BX67" s="92">
        <v>850</v>
      </c>
      <c r="BY67" s="92">
        <v>850</v>
      </c>
      <c r="BZ67" s="92">
        <v>850</v>
      </c>
      <c r="CA67" s="92">
        <v>850</v>
      </c>
      <c r="CB67" s="92">
        <v>850</v>
      </c>
      <c r="CC67" s="92">
        <v>850</v>
      </c>
      <c r="CD67" s="92">
        <v>850</v>
      </c>
      <c r="CE67" s="92">
        <v>850</v>
      </c>
      <c r="CF67" s="92">
        <v>850</v>
      </c>
      <c r="CG67" s="92">
        <v>850</v>
      </c>
      <c r="CH67" s="92">
        <v>850</v>
      </c>
      <c r="CI67" s="92">
        <v>850</v>
      </c>
      <c r="CJ67" s="92">
        <v>850</v>
      </c>
      <c r="CK67" s="92">
        <v>6600</v>
      </c>
      <c r="CL67" s="92">
        <v>1600</v>
      </c>
      <c r="CM67" s="92">
        <v>1600</v>
      </c>
      <c r="CN67" s="92">
        <v>1600</v>
      </c>
      <c r="CO67" s="92">
        <v>1600</v>
      </c>
      <c r="CP67" s="92">
        <v>1600</v>
      </c>
      <c r="CQ67" s="92">
        <v>1600</v>
      </c>
      <c r="CR67" s="92">
        <v>1600</v>
      </c>
      <c r="CS67" s="92">
        <v>1600</v>
      </c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8">
        <v>0</v>
      </c>
      <c r="DE67" s="38"/>
      <c r="DF67" s="111">
        <v>5000</v>
      </c>
      <c r="DH67" s="8">
        <f>+SUM(AZ67:DC67)</f>
        <v>50850</v>
      </c>
      <c r="DP67" s="9">
        <f t="shared" si="0"/>
        <v>850</v>
      </c>
      <c r="DT67" s="9">
        <v>1600</v>
      </c>
      <c r="FN67" s="7">
        <v>850</v>
      </c>
    </row>
    <row r="68" spans="1:170" s="9" customFormat="1" ht="13.5" x14ac:dyDescent="0.25">
      <c r="A68" s="16">
        <v>16</v>
      </c>
      <c r="B68" s="7" t="s">
        <v>63</v>
      </c>
      <c r="C68" s="8" t="s">
        <v>70</v>
      </c>
      <c r="D68" s="7">
        <v>16</v>
      </c>
      <c r="E68" s="7">
        <v>790</v>
      </c>
      <c r="F68" s="7">
        <v>790</v>
      </c>
      <c r="G68" s="7">
        <v>790</v>
      </c>
      <c r="H68" s="7">
        <v>790</v>
      </c>
      <c r="I68" s="7">
        <v>790</v>
      </c>
      <c r="J68" s="7">
        <v>790</v>
      </c>
      <c r="K68" s="7">
        <v>790</v>
      </c>
      <c r="L68" s="7">
        <v>790</v>
      </c>
      <c r="M68" s="7">
        <v>790</v>
      </c>
      <c r="N68" s="7">
        <v>790</v>
      </c>
      <c r="O68" s="7">
        <v>790</v>
      </c>
      <c r="P68" s="7">
        <v>790</v>
      </c>
      <c r="Q68" s="7">
        <v>790</v>
      </c>
      <c r="R68" s="7">
        <v>790</v>
      </c>
      <c r="S68" s="7">
        <v>790</v>
      </c>
      <c r="T68" s="7">
        <v>790</v>
      </c>
      <c r="U68" s="7">
        <v>790</v>
      </c>
      <c r="V68" s="7">
        <v>790</v>
      </c>
      <c r="W68" s="7">
        <v>790</v>
      </c>
      <c r="X68" s="7">
        <v>790</v>
      </c>
      <c r="Y68" s="7">
        <v>790</v>
      </c>
      <c r="Z68" s="7">
        <v>790</v>
      </c>
      <c r="AA68" s="7">
        <v>790</v>
      </c>
      <c r="AB68" s="7">
        <v>790</v>
      </c>
      <c r="AC68" s="7">
        <v>790</v>
      </c>
      <c r="AD68" s="7">
        <v>790</v>
      </c>
      <c r="AE68" s="7">
        <v>790</v>
      </c>
      <c r="AF68" s="7">
        <v>790</v>
      </c>
      <c r="AG68" s="7">
        <v>790</v>
      </c>
      <c r="AH68" s="7">
        <v>790</v>
      </c>
      <c r="AI68" s="7">
        <v>790</v>
      </c>
      <c r="AJ68" s="7">
        <v>790</v>
      </c>
      <c r="AK68" s="7">
        <v>790</v>
      </c>
      <c r="AL68" s="7">
        <v>790</v>
      </c>
      <c r="AM68" s="7">
        <v>790</v>
      </c>
      <c r="AN68" s="7">
        <v>790</v>
      </c>
      <c r="AO68" s="7">
        <v>790</v>
      </c>
      <c r="AP68" s="7">
        <v>790</v>
      </c>
      <c r="AQ68" s="7">
        <v>790</v>
      </c>
      <c r="AR68" s="7">
        <v>790</v>
      </c>
      <c r="AS68" s="7">
        <v>790</v>
      </c>
      <c r="AT68" s="7">
        <v>790</v>
      </c>
      <c r="AU68" s="7">
        <v>790</v>
      </c>
      <c r="AV68" s="7">
        <v>790</v>
      </c>
      <c r="AW68" s="7">
        <v>790</v>
      </c>
      <c r="AX68" s="92">
        <v>790</v>
      </c>
      <c r="AY68" s="92">
        <v>790</v>
      </c>
      <c r="AZ68" s="92">
        <v>790</v>
      </c>
      <c r="BA68" s="92">
        <v>790</v>
      </c>
      <c r="BB68" s="92">
        <v>790</v>
      </c>
      <c r="BC68" s="92">
        <v>790</v>
      </c>
      <c r="BD68" s="92">
        <v>790</v>
      </c>
      <c r="BE68" s="92">
        <v>790</v>
      </c>
      <c r="BF68" s="92">
        <v>790</v>
      </c>
      <c r="BG68" s="92">
        <v>790</v>
      </c>
      <c r="BH68" s="92">
        <v>790</v>
      </c>
      <c r="BI68" s="92">
        <v>790</v>
      </c>
      <c r="BJ68" s="92">
        <v>790</v>
      </c>
      <c r="BK68" s="92">
        <v>790</v>
      </c>
      <c r="BL68" s="92">
        <v>790</v>
      </c>
      <c r="BM68" s="92">
        <v>790</v>
      </c>
      <c r="BN68" s="92">
        <v>790</v>
      </c>
      <c r="BO68" s="92">
        <v>790</v>
      </c>
      <c r="BP68" s="92">
        <v>790</v>
      </c>
      <c r="BQ68" s="92">
        <v>790</v>
      </c>
      <c r="BR68" s="92">
        <v>790</v>
      </c>
      <c r="BS68" s="92">
        <v>790</v>
      </c>
      <c r="BT68" s="92">
        <v>790</v>
      </c>
      <c r="BU68" s="92">
        <v>790</v>
      </c>
      <c r="BV68" s="92">
        <f>1580/2</f>
        <v>790</v>
      </c>
      <c r="BW68" s="92">
        <v>790</v>
      </c>
      <c r="BX68" s="92">
        <v>870</v>
      </c>
      <c r="BY68" s="92">
        <v>870</v>
      </c>
      <c r="BZ68" s="92">
        <v>870</v>
      </c>
      <c r="CA68" s="92">
        <v>870</v>
      </c>
      <c r="CB68" s="92">
        <v>870</v>
      </c>
      <c r="CC68" s="92">
        <v>870</v>
      </c>
      <c r="CD68" s="92">
        <v>870</v>
      </c>
      <c r="CE68" s="92">
        <v>870</v>
      </c>
      <c r="CF68" s="92">
        <v>870</v>
      </c>
      <c r="CG68" s="92">
        <v>870</v>
      </c>
      <c r="CH68" s="92">
        <v>870</v>
      </c>
      <c r="CI68" s="92">
        <v>870</v>
      </c>
      <c r="CJ68" s="92">
        <v>1760</v>
      </c>
      <c r="CK68" s="92">
        <v>5850</v>
      </c>
      <c r="CL68" s="82">
        <v>3200</v>
      </c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8">
        <f>1760*7</f>
        <v>12320</v>
      </c>
      <c r="DE68" s="38"/>
      <c r="DF68" s="111">
        <v>5000</v>
      </c>
      <c r="DH68" s="8">
        <f>+SUM(AX68:DC68)</f>
        <v>41790</v>
      </c>
      <c r="DP68" s="9">
        <v>870</v>
      </c>
      <c r="DT68" s="9">
        <v>1760</v>
      </c>
      <c r="FN68" s="7">
        <v>790</v>
      </c>
    </row>
    <row r="69" spans="1:170" s="6" customFormat="1" ht="25.5" x14ac:dyDescent="0.25">
      <c r="A69" s="14" t="s">
        <v>0</v>
      </c>
      <c r="B69" s="3" t="s">
        <v>52</v>
      </c>
      <c r="C69" s="4" t="s">
        <v>1</v>
      </c>
      <c r="D69" s="3" t="s">
        <v>2</v>
      </c>
      <c r="E69" s="3" t="s">
        <v>36</v>
      </c>
      <c r="F69" s="5" t="s">
        <v>37</v>
      </c>
      <c r="G69" s="5" t="s">
        <v>38</v>
      </c>
      <c r="H69" s="5" t="s">
        <v>39</v>
      </c>
      <c r="I69" s="5" t="s">
        <v>40</v>
      </c>
      <c r="J69" s="5" t="s">
        <v>41</v>
      </c>
      <c r="K69" s="5" t="s">
        <v>44</v>
      </c>
      <c r="L69" s="5" t="s">
        <v>42</v>
      </c>
      <c r="M69" s="5" t="s">
        <v>45</v>
      </c>
      <c r="N69" s="5" t="s">
        <v>46</v>
      </c>
      <c r="O69" s="5" t="s">
        <v>50</v>
      </c>
      <c r="P69" s="5" t="s">
        <v>48</v>
      </c>
      <c r="Q69" s="5" t="s">
        <v>36</v>
      </c>
      <c r="R69" s="5" t="s">
        <v>37</v>
      </c>
      <c r="S69" s="5" t="s">
        <v>38</v>
      </c>
      <c r="T69" s="5" t="s">
        <v>39</v>
      </c>
      <c r="U69" s="5" t="s">
        <v>40</v>
      </c>
      <c r="V69" s="5" t="s">
        <v>41</v>
      </c>
      <c r="W69" s="5" t="s">
        <v>44</v>
      </c>
      <c r="X69" s="5" t="s">
        <v>42</v>
      </c>
      <c r="Y69" s="5" t="s">
        <v>45</v>
      </c>
      <c r="Z69" s="5" t="s">
        <v>53</v>
      </c>
      <c r="AA69" s="5" t="s">
        <v>50</v>
      </c>
      <c r="AB69" s="5" t="s">
        <v>48</v>
      </c>
      <c r="AC69" s="5" t="s">
        <v>36</v>
      </c>
      <c r="AD69" s="5" t="s">
        <v>37</v>
      </c>
      <c r="AE69" s="5" t="s">
        <v>38</v>
      </c>
      <c r="AF69" s="5" t="s">
        <v>39</v>
      </c>
      <c r="AG69" s="5" t="s">
        <v>40</v>
      </c>
      <c r="AH69" s="5" t="s">
        <v>41</v>
      </c>
      <c r="AI69" s="5" t="s">
        <v>56</v>
      </c>
      <c r="AJ69" s="5" t="s">
        <v>42</v>
      </c>
      <c r="AK69" s="5" t="s">
        <v>57</v>
      </c>
      <c r="AL69" s="5" t="s">
        <v>53</v>
      </c>
      <c r="AM69" s="5" t="s">
        <v>50</v>
      </c>
      <c r="AN69" s="5" t="s">
        <v>48</v>
      </c>
      <c r="AO69" s="5" t="s">
        <v>36</v>
      </c>
      <c r="AP69" s="5" t="s">
        <v>37</v>
      </c>
      <c r="AQ69" s="5" t="s">
        <v>38</v>
      </c>
      <c r="AR69" s="5" t="s">
        <v>39</v>
      </c>
      <c r="AS69" s="5" t="s">
        <v>40</v>
      </c>
      <c r="AT69" s="5" t="s">
        <v>41</v>
      </c>
      <c r="AU69" s="5" t="s">
        <v>101</v>
      </c>
      <c r="AV69" s="5" t="s">
        <v>102</v>
      </c>
      <c r="AW69" s="5" t="s">
        <v>103</v>
      </c>
      <c r="AX69" s="79" t="s">
        <v>104</v>
      </c>
      <c r="AY69" s="79" t="s">
        <v>105</v>
      </c>
      <c r="AZ69" s="79" t="s">
        <v>106</v>
      </c>
      <c r="BA69" s="79" t="s">
        <v>107</v>
      </c>
      <c r="BB69" s="79" t="s">
        <v>108</v>
      </c>
      <c r="BC69" s="79" t="s">
        <v>38</v>
      </c>
      <c r="BD69" s="5" t="s">
        <v>39</v>
      </c>
      <c r="BE69" s="5" t="s">
        <v>40</v>
      </c>
      <c r="BF69" s="5" t="s">
        <v>41</v>
      </c>
      <c r="BG69" s="5" t="s">
        <v>56</v>
      </c>
      <c r="BH69" s="5" t="s">
        <v>42</v>
      </c>
      <c r="BI69" s="5" t="s">
        <v>57</v>
      </c>
      <c r="BJ69" s="5" t="s">
        <v>53</v>
      </c>
      <c r="BK69" s="5" t="s">
        <v>50</v>
      </c>
      <c r="BL69" s="5" t="s">
        <v>136</v>
      </c>
      <c r="BM69" s="5" t="s">
        <v>36</v>
      </c>
      <c r="BN69" s="5" t="s">
        <v>37</v>
      </c>
      <c r="BO69" s="5" t="s">
        <v>38</v>
      </c>
      <c r="BP69" s="5" t="s">
        <v>39</v>
      </c>
      <c r="BQ69" s="5" t="s">
        <v>40</v>
      </c>
      <c r="BR69" s="5" t="s">
        <v>41</v>
      </c>
      <c r="BS69" s="5" t="s">
        <v>56</v>
      </c>
      <c r="BT69" s="5" t="s">
        <v>42</v>
      </c>
      <c r="BU69" s="5" t="s">
        <v>57</v>
      </c>
      <c r="BV69" s="5" t="s">
        <v>53</v>
      </c>
      <c r="BW69" s="5" t="s">
        <v>50</v>
      </c>
      <c r="BX69" s="5" t="s">
        <v>136</v>
      </c>
      <c r="BY69" s="5" t="s">
        <v>36</v>
      </c>
      <c r="BZ69" s="5" t="s">
        <v>37</v>
      </c>
      <c r="CA69" s="5" t="s">
        <v>38</v>
      </c>
      <c r="CB69" s="5" t="s">
        <v>39</v>
      </c>
      <c r="CC69" s="5" t="s">
        <v>40</v>
      </c>
      <c r="CD69" s="5" t="s">
        <v>41</v>
      </c>
      <c r="CE69" s="5" t="s">
        <v>56</v>
      </c>
      <c r="CF69" s="5" t="s">
        <v>42</v>
      </c>
      <c r="CG69" s="5" t="s">
        <v>57</v>
      </c>
      <c r="CH69" s="5" t="s">
        <v>53</v>
      </c>
      <c r="CI69" s="5" t="s">
        <v>50</v>
      </c>
      <c r="CJ69" s="5" t="s">
        <v>136</v>
      </c>
      <c r="CK69" s="5" t="s">
        <v>36</v>
      </c>
      <c r="CL69" s="5" t="s">
        <v>37</v>
      </c>
      <c r="CM69" s="5" t="s">
        <v>38</v>
      </c>
      <c r="CN69" s="5" t="s">
        <v>39</v>
      </c>
      <c r="CO69" s="5" t="s">
        <v>40</v>
      </c>
      <c r="CP69" s="5" t="s">
        <v>41</v>
      </c>
      <c r="CQ69" s="5" t="s">
        <v>56</v>
      </c>
      <c r="CR69" s="5" t="s">
        <v>42</v>
      </c>
      <c r="CS69" s="5" t="s">
        <v>57</v>
      </c>
      <c r="CT69" s="5" t="s">
        <v>53</v>
      </c>
      <c r="CU69" s="5" t="s">
        <v>50</v>
      </c>
      <c r="CV69" s="5" t="s">
        <v>136</v>
      </c>
      <c r="CW69" s="5" t="s">
        <v>36</v>
      </c>
      <c r="CX69" s="5" t="s">
        <v>37</v>
      </c>
      <c r="CY69" s="5" t="s">
        <v>38</v>
      </c>
      <c r="CZ69" s="5" t="s">
        <v>39</v>
      </c>
      <c r="DA69" s="5" t="s">
        <v>40</v>
      </c>
      <c r="DB69" s="5" t="s">
        <v>41</v>
      </c>
      <c r="DC69" s="5" t="s">
        <v>56</v>
      </c>
      <c r="DD69" s="81"/>
      <c r="DE69" s="15"/>
      <c r="DH69" s="81"/>
      <c r="DP69" s="9"/>
      <c r="FN69" s="95"/>
    </row>
    <row r="70" spans="1:170" s="9" customFormat="1" ht="13.5" x14ac:dyDescent="0.25">
      <c r="A70" s="16">
        <v>17</v>
      </c>
      <c r="B70" s="7" t="s">
        <v>64</v>
      </c>
      <c r="C70" s="8" t="s">
        <v>27</v>
      </c>
      <c r="D70" s="7">
        <v>17</v>
      </c>
      <c r="E70" s="7">
        <v>790</v>
      </c>
      <c r="F70" s="7">
        <v>790</v>
      </c>
      <c r="G70" s="7">
        <v>790</v>
      </c>
      <c r="H70" s="7">
        <v>790</v>
      </c>
      <c r="I70" s="7">
        <v>790</v>
      </c>
      <c r="J70" s="7">
        <v>790</v>
      </c>
      <c r="K70" s="7">
        <v>790</v>
      </c>
      <c r="L70" s="7">
        <v>790</v>
      </c>
      <c r="M70" s="7">
        <v>790</v>
      </c>
      <c r="N70" s="7">
        <v>790</v>
      </c>
      <c r="O70" s="7">
        <v>790</v>
      </c>
      <c r="P70" s="7">
        <v>790</v>
      </c>
      <c r="Q70" s="7">
        <v>790</v>
      </c>
      <c r="R70" s="7">
        <v>790</v>
      </c>
      <c r="S70" s="7">
        <v>790</v>
      </c>
      <c r="T70" s="7">
        <v>790</v>
      </c>
      <c r="U70" s="92">
        <v>790</v>
      </c>
      <c r="V70" s="92">
        <v>790</v>
      </c>
      <c r="W70" s="92">
        <v>900</v>
      </c>
      <c r="X70" s="92">
        <v>900</v>
      </c>
      <c r="Y70" s="92">
        <v>900</v>
      </c>
      <c r="Z70" s="92">
        <v>900</v>
      </c>
      <c r="AA70" s="92">
        <v>900</v>
      </c>
      <c r="AB70" s="92">
        <v>900</v>
      </c>
      <c r="AC70" s="92">
        <v>900</v>
      </c>
      <c r="AD70" s="92">
        <v>900</v>
      </c>
      <c r="AE70" s="92">
        <v>1250</v>
      </c>
      <c r="AF70" s="92">
        <v>900</v>
      </c>
      <c r="AG70" s="92">
        <v>900</v>
      </c>
      <c r="AH70" s="92">
        <v>900</v>
      </c>
      <c r="AI70" s="92">
        <v>900</v>
      </c>
      <c r="AJ70" s="92">
        <v>900</v>
      </c>
      <c r="AK70" s="92">
        <v>900</v>
      </c>
      <c r="AL70" s="92">
        <v>900</v>
      </c>
      <c r="AM70" s="92">
        <v>900</v>
      </c>
      <c r="AN70" s="92">
        <v>900</v>
      </c>
      <c r="AO70" s="92">
        <v>900</v>
      </c>
      <c r="AP70" s="92">
        <v>900</v>
      </c>
      <c r="AQ70" s="92">
        <v>900</v>
      </c>
      <c r="AR70" s="92">
        <v>900</v>
      </c>
      <c r="AS70" s="92">
        <v>900</v>
      </c>
      <c r="AT70" s="92">
        <v>900</v>
      </c>
      <c r="AU70" s="92">
        <v>900</v>
      </c>
      <c r="AV70" s="92">
        <v>900</v>
      </c>
      <c r="AW70" s="92">
        <v>900</v>
      </c>
      <c r="AX70" s="92">
        <v>900</v>
      </c>
      <c r="AY70" s="92">
        <v>900</v>
      </c>
      <c r="AZ70" s="92">
        <v>900</v>
      </c>
      <c r="BA70" s="92">
        <v>900</v>
      </c>
      <c r="BB70" s="92">
        <v>900</v>
      </c>
      <c r="BC70" s="92">
        <v>900</v>
      </c>
      <c r="BD70" s="92">
        <v>900</v>
      </c>
      <c r="BE70" s="92">
        <v>900</v>
      </c>
      <c r="BF70" s="92">
        <v>900</v>
      </c>
      <c r="BG70" s="92">
        <v>900</v>
      </c>
      <c r="BH70" s="92">
        <v>900</v>
      </c>
      <c r="BI70" s="92">
        <v>900</v>
      </c>
      <c r="BJ70" s="92">
        <v>900</v>
      </c>
      <c r="BK70" s="92">
        <v>900</v>
      </c>
      <c r="BL70" s="92">
        <v>900</v>
      </c>
      <c r="BM70" s="92">
        <v>900</v>
      </c>
      <c r="BN70" s="92">
        <v>900</v>
      </c>
      <c r="BO70" s="92">
        <v>900</v>
      </c>
      <c r="BP70" s="92">
        <v>900</v>
      </c>
      <c r="BQ70" s="92">
        <v>900</v>
      </c>
      <c r="BR70" s="92">
        <v>900</v>
      </c>
      <c r="BS70" s="92">
        <v>900</v>
      </c>
      <c r="BT70" s="92">
        <v>900</v>
      </c>
      <c r="BU70" s="92">
        <v>900</v>
      </c>
      <c r="BV70" s="92">
        <v>900</v>
      </c>
      <c r="BW70" s="92">
        <v>900</v>
      </c>
      <c r="BX70" s="92">
        <v>900</v>
      </c>
      <c r="BY70" s="92">
        <v>900</v>
      </c>
      <c r="BZ70" s="92">
        <v>900</v>
      </c>
      <c r="CA70" s="92">
        <v>900</v>
      </c>
      <c r="CB70" s="92">
        <v>900</v>
      </c>
      <c r="CC70" s="92">
        <v>900</v>
      </c>
      <c r="CD70" s="92">
        <v>900</v>
      </c>
      <c r="CE70" s="92">
        <v>900</v>
      </c>
      <c r="CF70" s="92">
        <v>900</v>
      </c>
      <c r="CG70" s="92">
        <v>900</v>
      </c>
      <c r="CH70" s="92">
        <v>900</v>
      </c>
      <c r="CI70" s="92">
        <v>900</v>
      </c>
      <c r="CJ70" s="92">
        <v>900</v>
      </c>
      <c r="CK70" s="92">
        <v>1600</v>
      </c>
      <c r="CL70" s="92">
        <v>1600</v>
      </c>
      <c r="CM70" s="92">
        <v>1600</v>
      </c>
      <c r="CN70" s="92">
        <v>1600</v>
      </c>
      <c r="CO70" s="92">
        <v>1600</v>
      </c>
      <c r="CP70" s="92">
        <v>1000</v>
      </c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8">
        <f>600+1600*3</f>
        <v>5400</v>
      </c>
      <c r="DE70" s="17" t="s">
        <v>62</v>
      </c>
      <c r="DF70" s="113"/>
      <c r="DH70" s="8">
        <f>+SUM(U70:DC70)</f>
        <v>70330</v>
      </c>
      <c r="DP70" s="9">
        <v>900</v>
      </c>
      <c r="DT70" s="9">
        <v>1600</v>
      </c>
      <c r="FN70" s="7">
        <v>900</v>
      </c>
    </row>
    <row r="71" spans="1:170" s="9" customFormat="1" ht="13.5" x14ac:dyDescent="0.25">
      <c r="A71" s="16">
        <v>18</v>
      </c>
      <c r="B71" s="7" t="s">
        <v>64</v>
      </c>
      <c r="C71" s="8" t="s">
        <v>28</v>
      </c>
      <c r="D71" s="7">
        <v>18</v>
      </c>
      <c r="E71" s="7">
        <v>870</v>
      </c>
      <c r="F71" s="7">
        <v>870</v>
      </c>
      <c r="G71" s="7">
        <v>870</v>
      </c>
      <c r="H71" s="7">
        <v>870</v>
      </c>
      <c r="I71" s="7">
        <v>870</v>
      </c>
      <c r="J71" s="7">
        <v>870</v>
      </c>
      <c r="K71" s="7">
        <v>870</v>
      </c>
      <c r="L71" s="7">
        <v>870</v>
      </c>
      <c r="M71" s="7">
        <v>870</v>
      </c>
      <c r="N71" s="7">
        <v>870</v>
      </c>
      <c r="O71" s="7">
        <v>870</v>
      </c>
      <c r="P71" s="7">
        <v>870</v>
      </c>
      <c r="Q71" s="7">
        <v>900</v>
      </c>
      <c r="R71" s="7">
        <v>900</v>
      </c>
      <c r="S71" s="7">
        <v>900</v>
      </c>
      <c r="T71" s="7">
        <v>900</v>
      </c>
      <c r="U71" s="7">
        <v>900</v>
      </c>
      <c r="V71" s="7">
        <v>900</v>
      </c>
      <c r="W71" s="82">
        <v>900</v>
      </c>
      <c r="X71" s="7">
        <v>900</v>
      </c>
      <c r="Y71" s="7">
        <v>900</v>
      </c>
      <c r="Z71" s="7">
        <v>900</v>
      </c>
      <c r="AA71" s="7">
        <v>900</v>
      </c>
      <c r="AB71" s="7">
        <v>900</v>
      </c>
      <c r="AC71" s="7">
        <v>900</v>
      </c>
      <c r="AD71" s="7">
        <v>900</v>
      </c>
      <c r="AE71" s="7">
        <v>900</v>
      </c>
      <c r="AF71" s="7">
        <v>900</v>
      </c>
      <c r="AG71" s="7">
        <v>900</v>
      </c>
      <c r="AH71" s="7">
        <v>900</v>
      </c>
      <c r="AI71" s="7">
        <v>900</v>
      </c>
      <c r="AJ71" s="7">
        <v>900</v>
      </c>
      <c r="AK71" s="92">
        <v>980</v>
      </c>
      <c r="AL71" s="92">
        <v>980</v>
      </c>
      <c r="AM71" s="92">
        <v>980</v>
      </c>
      <c r="AN71" s="92">
        <v>980</v>
      </c>
      <c r="AO71" s="92">
        <v>980</v>
      </c>
      <c r="AP71" s="92">
        <v>980</v>
      </c>
      <c r="AQ71" s="92">
        <v>980</v>
      </c>
      <c r="AR71" s="92">
        <v>980</v>
      </c>
      <c r="AS71" s="92">
        <v>980</v>
      </c>
      <c r="AT71" s="92">
        <v>980</v>
      </c>
      <c r="AU71" s="92">
        <v>980</v>
      </c>
      <c r="AV71" s="92">
        <v>980</v>
      </c>
      <c r="AW71" s="92">
        <v>980</v>
      </c>
      <c r="AX71" s="92">
        <v>980</v>
      </c>
      <c r="AY71" s="92">
        <v>980</v>
      </c>
      <c r="AZ71" s="92">
        <v>980</v>
      </c>
      <c r="BA71" s="92">
        <v>980</v>
      </c>
      <c r="BB71" s="92">
        <v>980</v>
      </c>
      <c r="BC71" s="92">
        <v>980</v>
      </c>
      <c r="BD71" s="92">
        <v>980</v>
      </c>
      <c r="BE71" s="92">
        <v>980</v>
      </c>
      <c r="BF71" s="92">
        <v>980</v>
      </c>
      <c r="BG71" s="92">
        <v>980</v>
      </c>
      <c r="BH71" s="92">
        <v>980</v>
      </c>
      <c r="BI71" s="92">
        <v>980</v>
      </c>
      <c r="BJ71" s="92">
        <v>980</v>
      </c>
      <c r="BK71" s="92">
        <v>980</v>
      </c>
      <c r="BL71" s="92">
        <v>1080</v>
      </c>
      <c r="BM71" s="92">
        <v>980</v>
      </c>
      <c r="BN71" s="92">
        <v>980</v>
      </c>
      <c r="BO71" s="92">
        <v>980</v>
      </c>
      <c r="BP71" s="92">
        <v>980</v>
      </c>
      <c r="BQ71" s="92">
        <v>900</v>
      </c>
      <c r="BR71" s="92">
        <v>980</v>
      </c>
      <c r="BS71" s="92">
        <v>980</v>
      </c>
      <c r="BT71" s="92">
        <v>980</v>
      </c>
      <c r="BU71" s="92">
        <v>980</v>
      </c>
      <c r="BV71" s="92">
        <v>980</v>
      </c>
      <c r="BW71" s="92">
        <v>980</v>
      </c>
      <c r="BX71" s="92">
        <v>980</v>
      </c>
      <c r="BY71" s="92">
        <v>980</v>
      </c>
      <c r="BZ71" s="92">
        <v>980</v>
      </c>
      <c r="CA71" s="92">
        <v>980</v>
      </c>
      <c r="CB71" s="92">
        <v>980</v>
      </c>
      <c r="CC71" s="92">
        <v>980</v>
      </c>
      <c r="CD71" s="92">
        <v>980</v>
      </c>
      <c r="CE71" s="92">
        <v>980</v>
      </c>
      <c r="CF71" s="92">
        <v>980</v>
      </c>
      <c r="CG71" s="92">
        <v>980</v>
      </c>
      <c r="CH71" s="92">
        <v>980</v>
      </c>
      <c r="CI71" s="92">
        <v>980</v>
      </c>
      <c r="CJ71" s="92">
        <v>980</v>
      </c>
      <c r="CK71" s="92">
        <v>1760</v>
      </c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8">
        <f>1760*8</f>
        <v>14080</v>
      </c>
      <c r="DE71" s="17">
        <v>1000</v>
      </c>
      <c r="DF71" s="113"/>
      <c r="DH71" s="8">
        <f>+SUM(AK71:DC71)</f>
        <v>52740</v>
      </c>
      <c r="DP71" s="9">
        <f t="shared" si="0"/>
        <v>980</v>
      </c>
      <c r="DT71" s="9">
        <v>1760</v>
      </c>
      <c r="FN71" s="7">
        <v>980</v>
      </c>
    </row>
    <row r="72" spans="1:170" s="9" customFormat="1" ht="13.5" x14ac:dyDescent="0.25">
      <c r="A72" s="16">
        <v>19</v>
      </c>
      <c r="B72" s="7" t="s">
        <v>64</v>
      </c>
      <c r="C72" s="8" t="s">
        <v>71</v>
      </c>
      <c r="D72" s="7">
        <v>19</v>
      </c>
      <c r="E72" s="7">
        <v>790</v>
      </c>
      <c r="F72" s="7">
        <v>790</v>
      </c>
      <c r="G72" s="7">
        <v>790</v>
      </c>
      <c r="H72" s="7">
        <v>790</v>
      </c>
      <c r="I72" s="7">
        <v>790</v>
      </c>
      <c r="J72" s="7">
        <v>790</v>
      </c>
      <c r="K72" s="7">
        <v>790</v>
      </c>
      <c r="L72" s="7">
        <v>790</v>
      </c>
      <c r="M72" s="7">
        <v>790</v>
      </c>
      <c r="N72" s="7">
        <v>790</v>
      </c>
      <c r="O72" s="7">
        <v>790</v>
      </c>
      <c r="P72" s="7">
        <v>790</v>
      </c>
      <c r="Q72" s="7">
        <v>790</v>
      </c>
      <c r="R72" s="7">
        <v>790</v>
      </c>
      <c r="S72" s="7">
        <v>790</v>
      </c>
      <c r="T72" s="7">
        <v>790</v>
      </c>
      <c r="U72" s="7">
        <v>790</v>
      </c>
      <c r="V72" s="7">
        <v>900</v>
      </c>
      <c r="W72" s="82">
        <v>900</v>
      </c>
      <c r="X72" s="7">
        <v>900</v>
      </c>
      <c r="Y72" s="7">
        <v>900</v>
      </c>
      <c r="Z72" s="7">
        <v>900</v>
      </c>
      <c r="AA72" s="7">
        <v>900</v>
      </c>
      <c r="AB72" s="7">
        <v>900</v>
      </c>
      <c r="AC72" s="7">
        <v>900</v>
      </c>
      <c r="AD72" s="7">
        <v>900</v>
      </c>
      <c r="AE72" s="7">
        <v>900</v>
      </c>
      <c r="AF72" s="7">
        <v>900</v>
      </c>
      <c r="AG72" s="7">
        <v>900</v>
      </c>
      <c r="AH72" s="7">
        <v>900</v>
      </c>
      <c r="AI72" s="7">
        <v>900</v>
      </c>
      <c r="AJ72" s="7">
        <v>900</v>
      </c>
      <c r="AK72" s="7">
        <v>900</v>
      </c>
      <c r="AL72" s="7">
        <v>900</v>
      </c>
      <c r="AM72" s="7">
        <v>900</v>
      </c>
      <c r="AN72" s="7">
        <v>900</v>
      </c>
      <c r="AO72" s="7">
        <v>900</v>
      </c>
      <c r="AP72" s="7">
        <v>900</v>
      </c>
      <c r="AQ72" s="7">
        <v>900</v>
      </c>
      <c r="AR72" s="7">
        <v>900</v>
      </c>
      <c r="AS72" s="7">
        <v>900</v>
      </c>
      <c r="AT72" s="7">
        <v>900</v>
      </c>
      <c r="AU72" s="7">
        <v>900</v>
      </c>
      <c r="AV72" s="7">
        <v>900</v>
      </c>
      <c r="AW72" s="7">
        <v>900</v>
      </c>
      <c r="AX72" s="7">
        <v>900</v>
      </c>
      <c r="AY72" s="92">
        <v>900</v>
      </c>
      <c r="AZ72" s="92">
        <v>900</v>
      </c>
      <c r="BA72" s="92">
        <v>900</v>
      </c>
      <c r="BB72" s="92">
        <v>900</v>
      </c>
      <c r="BC72" s="92">
        <v>900</v>
      </c>
      <c r="BD72" s="92">
        <v>900</v>
      </c>
      <c r="BE72" s="92">
        <v>900</v>
      </c>
      <c r="BF72" s="92">
        <v>900</v>
      </c>
      <c r="BG72" s="92">
        <v>900</v>
      </c>
      <c r="BH72" s="92">
        <v>900</v>
      </c>
      <c r="BI72" s="92">
        <v>900</v>
      </c>
      <c r="BJ72" s="92">
        <v>900</v>
      </c>
      <c r="BK72" s="92">
        <v>900</v>
      </c>
      <c r="BL72" s="92">
        <v>900</v>
      </c>
      <c r="BM72" s="92">
        <v>900</v>
      </c>
      <c r="BN72" s="92">
        <v>900</v>
      </c>
      <c r="BO72" s="92">
        <v>900</v>
      </c>
      <c r="BP72" s="92">
        <v>900</v>
      </c>
      <c r="BQ72" s="92">
        <v>900</v>
      </c>
      <c r="BR72" s="92">
        <v>900</v>
      </c>
      <c r="BS72" s="92">
        <v>900</v>
      </c>
      <c r="BT72" s="92">
        <v>900</v>
      </c>
      <c r="BU72" s="92">
        <v>900</v>
      </c>
      <c r="BV72" s="92">
        <v>900</v>
      </c>
      <c r="BW72" s="92">
        <v>900</v>
      </c>
      <c r="BX72" s="92">
        <v>900</v>
      </c>
      <c r="BY72" s="92">
        <v>900</v>
      </c>
      <c r="BZ72" s="92">
        <v>900</v>
      </c>
      <c r="CA72" s="92">
        <v>900</v>
      </c>
      <c r="CB72" s="92">
        <v>900</v>
      </c>
      <c r="CC72" s="92">
        <v>900</v>
      </c>
      <c r="CD72" s="92">
        <v>900</v>
      </c>
      <c r="CE72" s="92">
        <v>900</v>
      </c>
      <c r="CF72" s="92">
        <v>900</v>
      </c>
      <c r="CG72" s="92">
        <v>900</v>
      </c>
      <c r="CH72" s="92">
        <v>900</v>
      </c>
      <c r="CI72" s="92">
        <v>900</v>
      </c>
      <c r="CJ72" s="92">
        <v>5900</v>
      </c>
      <c r="CK72" s="92">
        <v>1600</v>
      </c>
      <c r="CL72" s="92">
        <v>1600</v>
      </c>
      <c r="CM72" s="92">
        <v>1600</v>
      </c>
      <c r="CN72" s="92">
        <v>1600</v>
      </c>
      <c r="CO72" s="92">
        <v>1600</v>
      </c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8">
        <f>1600*4</f>
        <v>6400</v>
      </c>
      <c r="DE72" s="38"/>
      <c r="DF72" s="111">
        <v>5000</v>
      </c>
      <c r="DH72" s="8">
        <f>+SUM(AY72:DC72)</f>
        <v>47200</v>
      </c>
      <c r="DP72" s="9">
        <f t="shared" si="0"/>
        <v>5900</v>
      </c>
      <c r="DT72" s="9">
        <v>1600</v>
      </c>
      <c r="FN72" s="7">
        <v>900</v>
      </c>
    </row>
    <row r="73" spans="1:170" s="9" customFormat="1" ht="13.5" x14ac:dyDescent="0.25">
      <c r="A73" s="16">
        <v>20</v>
      </c>
      <c r="B73" s="7" t="s">
        <v>64</v>
      </c>
      <c r="C73" s="8" t="s">
        <v>72</v>
      </c>
      <c r="D73" s="7">
        <v>20</v>
      </c>
      <c r="E73" s="7">
        <v>870</v>
      </c>
      <c r="F73" s="7">
        <v>870</v>
      </c>
      <c r="G73" s="7">
        <v>870</v>
      </c>
      <c r="H73" s="7">
        <v>870</v>
      </c>
      <c r="I73" s="7">
        <v>870</v>
      </c>
      <c r="J73" s="7">
        <v>870</v>
      </c>
      <c r="K73" s="7">
        <v>870</v>
      </c>
      <c r="L73" s="7">
        <v>870</v>
      </c>
      <c r="M73" s="7">
        <v>870</v>
      </c>
      <c r="N73" s="7">
        <v>870</v>
      </c>
      <c r="O73" s="7">
        <v>870</v>
      </c>
      <c r="P73" s="7">
        <v>870</v>
      </c>
      <c r="Q73" s="7">
        <v>870</v>
      </c>
      <c r="R73" s="7">
        <v>870</v>
      </c>
      <c r="S73" s="7">
        <v>870</v>
      </c>
      <c r="T73" s="7">
        <v>870</v>
      </c>
      <c r="U73" s="7">
        <v>870</v>
      </c>
      <c r="V73" s="7">
        <v>870</v>
      </c>
      <c r="W73" s="82">
        <v>980</v>
      </c>
      <c r="X73" s="7">
        <v>980</v>
      </c>
      <c r="Y73" s="7">
        <v>980</v>
      </c>
      <c r="Z73" s="7">
        <v>980</v>
      </c>
      <c r="AA73" s="7">
        <v>980</v>
      </c>
      <c r="AB73" s="7">
        <v>980</v>
      </c>
      <c r="AC73" s="7">
        <v>980</v>
      </c>
      <c r="AD73" s="7">
        <v>980</v>
      </c>
      <c r="AE73" s="80">
        <v>980</v>
      </c>
      <c r="AF73" s="7">
        <v>980</v>
      </c>
      <c r="AG73" s="7">
        <v>980</v>
      </c>
      <c r="AH73" s="7">
        <v>980</v>
      </c>
      <c r="AI73" s="7">
        <v>980</v>
      </c>
      <c r="AJ73" s="7">
        <v>980</v>
      </c>
      <c r="AK73" s="7">
        <v>980</v>
      </c>
      <c r="AL73" s="7">
        <v>980</v>
      </c>
      <c r="AM73" s="7">
        <v>980</v>
      </c>
      <c r="AN73" s="7">
        <v>980</v>
      </c>
      <c r="AO73" s="7">
        <v>980</v>
      </c>
      <c r="AP73" s="7">
        <v>980</v>
      </c>
      <c r="AQ73" s="7">
        <v>980</v>
      </c>
      <c r="AR73" s="7">
        <v>980</v>
      </c>
      <c r="AS73" s="7">
        <v>980</v>
      </c>
      <c r="AT73" s="7">
        <v>980</v>
      </c>
      <c r="AU73" s="7">
        <v>980</v>
      </c>
      <c r="AV73" s="7">
        <v>980</v>
      </c>
      <c r="AW73" s="7">
        <v>980</v>
      </c>
      <c r="AX73" s="92">
        <v>980</v>
      </c>
      <c r="AY73" s="92">
        <v>980</v>
      </c>
      <c r="AZ73" s="92">
        <v>980</v>
      </c>
      <c r="BA73" s="92">
        <v>980</v>
      </c>
      <c r="BB73" s="92">
        <v>980</v>
      </c>
      <c r="BC73" s="92">
        <v>980</v>
      </c>
      <c r="BD73" s="92">
        <v>980</v>
      </c>
      <c r="BE73" s="92">
        <v>980</v>
      </c>
      <c r="BF73" s="92">
        <v>980</v>
      </c>
      <c r="BG73" s="92">
        <v>980</v>
      </c>
      <c r="BH73" s="92">
        <v>980</v>
      </c>
      <c r="BI73" s="92">
        <v>980</v>
      </c>
      <c r="BJ73" s="92">
        <v>980</v>
      </c>
      <c r="BK73" s="92">
        <v>980</v>
      </c>
      <c r="BL73" s="92">
        <v>980</v>
      </c>
      <c r="BM73" s="92">
        <v>980</v>
      </c>
      <c r="BN73" s="92">
        <v>980</v>
      </c>
      <c r="BO73" s="92">
        <v>980</v>
      </c>
      <c r="BP73" s="92">
        <v>980</v>
      </c>
      <c r="BQ73" s="92">
        <v>980</v>
      </c>
      <c r="BR73" s="92">
        <v>980</v>
      </c>
      <c r="BS73" s="92">
        <v>980</v>
      </c>
      <c r="BT73" s="92">
        <v>980</v>
      </c>
      <c r="BU73" s="92">
        <v>980</v>
      </c>
      <c r="BV73" s="92">
        <v>980</v>
      </c>
      <c r="BW73" s="92">
        <v>980</v>
      </c>
      <c r="BX73" s="92">
        <v>980</v>
      </c>
      <c r="BY73" s="92">
        <v>980</v>
      </c>
      <c r="BZ73" s="92">
        <v>980</v>
      </c>
      <c r="CA73" s="92">
        <v>980</v>
      </c>
      <c r="CB73" s="92">
        <v>980</v>
      </c>
      <c r="CC73" s="92">
        <v>980</v>
      </c>
      <c r="CD73" s="92">
        <v>980</v>
      </c>
      <c r="CE73" s="92">
        <v>980</v>
      </c>
      <c r="CF73" s="92">
        <v>200</v>
      </c>
      <c r="CG73" s="92">
        <v>1600</v>
      </c>
      <c r="CH73" s="92">
        <v>900</v>
      </c>
      <c r="CI73" s="92">
        <v>900</v>
      </c>
      <c r="CJ73" s="92">
        <v>900</v>
      </c>
      <c r="CK73" s="92">
        <f>1760+5000</f>
        <v>6760</v>
      </c>
      <c r="CL73" s="92">
        <v>840</v>
      </c>
      <c r="CM73" s="92">
        <f>1760+920</f>
        <v>2680</v>
      </c>
      <c r="CN73" s="92">
        <v>1760</v>
      </c>
      <c r="CO73" s="92">
        <v>1760</v>
      </c>
      <c r="CP73" s="92">
        <v>1760</v>
      </c>
      <c r="CQ73" s="92">
        <v>1760</v>
      </c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8">
        <f>1760*2</f>
        <v>3520</v>
      </c>
      <c r="DE73" s="17" t="s">
        <v>100</v>
      </c>
      <c r="DF73" s="111">
        <v>5000</v>
      </c>
      <c r="DH73" s="8">
        <f>+SUM(AX73:DC73)+(110*10)+(80*16)</f>
        <v>57520</v>
      </c>
      <c r="DP73" s="9">
        <v>980</v>
      </c>
      <c r="DT73" s="9">
        <v>1760</v>
      </c>
      <c r="FN73" s="7">
        <v>980</v>
      </c>
    </row>
    <row r="74" spans="1:170" s="9" customFormat="1" ht="13.5" x14ac:dyDescent="0.25">
      <c r="A74" s="16">
        <v>21</v>
      </c>
      <c r="B74" s="7" t="s">
        <v>64</v>
      </c>
      <c r="C74" s="8" t="s">
        <v>162</v>
      </c>
      <c r="D74" s="7">
        <v>21</v>
      </c>
      <c r="E74" s="7">
        <v>790</v>
      </c>
      <c r="F74" s="7">
        <v>790</v>
      </c>
      <c r="G74" s="7">
        <v>790</v>
      </c>
      <c r="H74" s="7">
        <v>790</v>
      </c>
      <c r="I74" s="7">
        <v>790</v>
      </c>
      <c r="J74" s="7">
        <v>790</v>
      </c>
      <c r="K74" s="7">
        <v>790</v>
      </c>
      <c r="L74" s="7">
        <v>790</v>
      </c>
      <c r="M74" s="7">
        <v>790</v>
      </c>
      <c r="N74" s="7">
        <v>790</v>
      </c>
      <c r="O74" s="7">
        <v>790</v>
      </c>
      <c r="P74" s="7">
        <v>790</v>
      </c>
      <c r="Q74" s="7">
        <v>790</v>
      </c>
      <c r="R74" s="7">
        <v>790</v>
      </c>
      <c r="S74" s="7">
        <v>790</v>
      </c>
      <c r="T74" s="7">
        <v>790</v>
      </c>
      <c r="U74" s="7">
        <v>790</v>
      </c>
      <c r="V74" s="7">
        <v>900</v>
      </c>
      <c r="W74" s="82">
        <v>900</v>
      </c>
      <c r="X74" s="7">
        <v>900</v>
      </c>
      <c r="Y74" s="7">
        <v>900</v>
      </c>
      <c r="Z74" s="7">
        <v>900</v>
      </c>
      <c r="AA74" s="7">
        <v>900</v>
      </c>
      <c r="AB74" s="7">
        <v>900</v>
      </c>
      <c r="AC74" s="7">
        <v>900</v>
      </c>
      <c r="AD74" s="7">
        <v>900</v>
      </c>
      <c r="AE74" s="7">
        <v>900</v>
      </c>
      <c r="AF74" s="7">
        <v>900</v>
      </c>
      <c r="AG74" s="7">
        <v>900</v>
      </c>
      <c r="AH74" s="7">
        <v>900</v>
      </c>
      <c r="AI74" s="7">
        <v>900</v>
      </c>
      <c r="AJ74" s="7">
        <v>900</v>
      </c>
      <c r="AK74" s="7">
        <v>900</v>
      </c>
      <c r="AL74" s="7">
        <v>900</v>
      </c>
      <c r="AM74" s="7">
        <v>900</v>
      </c>
      <c r="AN74" s="7">
        <v>900</v>
      </c>
      <c r="AO74" s="7">
        <v>900</v>
      </c>
      <c r="AP74" s="7">
        <v>900</v>
      </c>
      <c r="AQ74" s="7">
        <v>900</v>
      </c>
      <c r="AR74" s="7">
        <v>900</v>
      </c>
      <c r="AS74" s="7">
        <v>900</v>
      </c>
      <c r="AT74" s="7">
        <v>900</v>
      </c>
      <c r="AU74" s="7">
        <v>900</v>
      </c>
      <c r="AV74" s="7">
        <v>900</v>
      </c>
      <c r="AW74" s="7">
        <v>900</v>
      </c>
      <c r="AX74" s="92">
        <v>900</v>
      </c>
      <c r="AY74" s="92">
        <v>900</v>
      </c>
      <c r="AZ74" s="92">
        <v>900</v>
      </c>
      <c r="BA74" s="92">
        <v>900</v>
      </c>
      <c r="BB74" s="92">
        <v>900</v>
      </c>
      <c r="BC74" s="92">
        <v>900</v>
      </c>
      <c r="BD74" s="92">
        <v>900</v>
      </c>
      <c r="BE74" s="92">
        <v>900</v>
      </c>
      <c r="BF74" s="92">
        <v>900</v>
      </c>
      <c r="BG74" s="92">
        <v>900</v>
      </c>
      <c r="BH74" s="92">
        <v>900</v>
      </c>
      <c r="BI74" s="92">
        <v>900</v>
      </c>
      <c r="BJ74" s="92">
        <v>900</v>
      </c>
      <c r="BK74" s="92">
        <v>900</v>
      </c>
      <c r="BL74" s="92">
        <v>900</v>
      </c>
      <c r="BM74" s="92">
        <v>900</v>
      </c>
      <c r="BN74" s="92">
        <v>900</v>
      </c>
      <c r="BO74" s="92">
        <v>900</v>
      </c>
      <c r="BP74" s="92">
        <v>900</v>
      </c>
      <c r="BQ74" s="92">
        <v>900</v>
      </c>
      <c r="BR74" s="92">
        <v>900</v>
      </c>
      <c r="BS74" s="92">
        <v>900</v>
      </c>
      <c r="BT74" s="92">
        <v>900</v>
      </c>
      <c r="BU74" s="92">
        <v>900</v>
      </c>
      <c r="BV74" s="92">
        <v>900</v>
      </c>
      <c r="BW74" s="92">
        <v>900</v>
      </c>
      <c r="BX74" s="92">
        <v>900</v>
      </c>
      <c r="BY74" s="92">
        <v>900</v>
      </c>
      <c r="BZ74" s="92">
        <v>900</v>
      </c>
      <c r="CA74" s="92">
        <v>900</v>
      </c>
      <c r="CB74" s="92">
        <v>900</v>
      </c>
      <c r="CC74" s="92">
        <v>900</v>
      </c>
      <c r="CD74" s="92">
        <v>900</v>
      </c>
      <c r="CE74" s="92">
        <v>900</v>
      </c>
      <c r="CF74" s="92">
        <v>900</v>
      </c>
      <c r="CG74" s="92">
        <v>900</v>
      </c>
      <c r="CH74" s="92">
        <v>900</v>
      </c>
      <c r="CI74" s="92">
        <v>900</v>
      </c>
      <c r="CJ74" s="92">
        <f>900+1134+5000</f>
        <v>7034</v>
      </c>
      <c r="CK74" s="92">
        <v>1600</v>
      </c>
      <c r="CL74" s="92">
        <v>1600</v>
      </c>
      <c r="CM74" s="92">
        <v>1600</v>
      </c>
      <c r="CN74" s="92">
        <v>1600</v>
      </c>
      <c r="CO74" s="92">
        <v>1600</v>
      </c>
      <c r="CP74" s="92">
        <v>1600</v>
      </c>
      <c r="CQ74" s="92">
        <v>1600</v>
      </c>
      <c r="CR74" s="92">
        <v>1600</v>
      </c>
      <c r="CS74" s="92">
        <v>1600</v>
      </c>
      <c r="CT74" s="92">
        <v>1600</v>
      </c>
      <c r="CU74" s="92">
        <v>1600</v>
      </c>
      <c r="CV74" s="92">
        <v>1600</v>
      </c>
      <c r="CW74" s="7"/>
      <c r="CX74" s="7"/>
      <c r="CY74" s="7"/>
      <c r="CZ74" s="7"/>
      <c r="DA74" s="7"/>
      <c r="DB74" s="7"/>
      <c r="DC74" s="7"/>
      <c r="DD74" s="8">
        <f>1600*9</f>
        <v>14400</v>
      </c>
      <c r="DE74" s="17">
        <v>1000</v>
      </c>
      <c r="DF74" s="111">
        <v>5000</v>
      </c>
      <c r="DH74" s="8">
        <f>+SUM(AX74:DC74)</f>
        <v>60434</v>
      </c>
      <c r="DP74" s="9">
        <v>980</v>
      </c>
      <c r="DT74" s="9">
        <v>1600</v>
      </c>
      <c r="FN74" s="7">
        <v>900</v>
      </c>
    </row>
    <row r="75" spans="1:170" s="9" customFormat="1" ht="13.5" x14ac:dyDescent="0.25">
      <c r="A75" s="16">
        <v>22</v>
      </c>
      <c r="B75" s="7" t="s">
        <v>64</v>
      </c>
      <c r="C75" s="8" t="s">
        <v>29</v>
      </c>
      <c r="D75" s="7">
        <v>22</v>
      </c>
      <c r="E75" s="7">
        <v>790</v>
      </c>
      <c r="F75" s="7">
        <v>790</v>
      </c>
      <c r="G75" s="7">
        <v>790</v>
      </c>
      <c r="H75" s="7">
        <v>790</v>
      </c>
      <c r="I75" s="7">
        <v>790</v>
      </c>
      <c r="J75" s="7">
        <v>790</v>
      </c>
      <c r="K75" s="7">
        <v>790</v>
      </c>
      <c r="L75" s="7">
        <v>790</v>
      </c>
      <c r="M75" s="7">
        <v>790</v>
      </c>
      <c r="N75" s="7">
        <v>790</v>
      </c>
      <c r="O75" s="7">
        <v>790</v>
      </c>
      <c r="P75" s="7">
        <v>790</v>
      </c>
      <c r="Q75" s="7">
        <v>790</v>
      </c>
      <c r="R75" s="7">
        <v>790</v>
      </c>
      <c r="S75" s="7">
        <v>790</v>
      </c>
      <c r="T75" s="7">
        <v>790</v>
      </c>
      <c r="U75" s="7">
        <v>900</v>
      </c>
      <c r="V75" s="7">
        <v>900</v>
      </c>
      <c r="W75" s="82">
        <v>900</v>
      </c>
      <c r="X75" s="7">
        <v>900</v>
      </c>
      <c r="Y75" s="7">
        <v>900</v>
      </c>
      <c r="Z75" s="7">
        <v>900</v>
      </c>
      <c r="AA75" s="7">
        <v>900</v>
      </c>
      <c r="AB75" s="7">
        <v>900</v>
      </c>
      <c r="AC75" s="7">
        <v>900</v>
      </c>
      <c r="AD75" s="7">
        <v>900</v>
      </c>
      <c r="AE75" s="7">
        <v>900</v>
      </c>
      <c r="AF75" s="7">
        <v>900</v>
      </c>
      <c r="AG75" s="7">
        <v>900</v>
      </c>
      <c r="AH75" s="7">
        <v>900</v>
      </c>
      <c r="AI75" s="7">
        <v>900</v>
      </c>
      <c r="AJ75" s="7">
        <v>900</v>
      </c>
      <c r="AK75" s="7">
        <v>900</v>
      </c>
      <c r="AL75" s="7">
        <v>900</v>
      </c>
      <c r="AM75" s="7">
        <v>900</v>
      </c>
      <c r="AN75" s="92">
        <v>900</v>
      </c>
      <c r="AO75" s="92">
        <v>900</v>
      </c>
      <c r="AP75" s="92">
        <v>900</v>
      </c>
      <c r="AQ75" s="92">
        <v>900</v>
      </c>
      <c r="AR75" s="92">
        <v>900</v>
      </c>
      <c r="AS75" s="92">
        <v>900</v>
      </c>
      <c r="AT75" s="92">
        <v>900</v>
      </c>
      <c r="AU75" s="92">
        <v>900</v>
      </c>
      <c r="AV75" s="92">
        <v>900</v>
      </c>
      <c r="AW75" s="92">
        <v>900</v>
      </c>
      <c r="AX75" s="92">
        <v>900</v>
      </c>
      <c r="AY75" s="92">
        <v>900</v>
      </c>
      <c r="AZ75" s="92">
        <v>900</v>
      </c>
      <c r="BA75" s="92">
        <v>900</v>
      </c>
      <c r="BB75" s="92">
        <v>900</v>
      </c>
      <c r="BC75" s="92">
        <v>900</v>
      </c>
      <c r="BD75" s="92">
        <v>900</v>
      </c>
      <c r="BE75" s="92">
        <v>900</v>
      </c>
      <c r="BF75" s="92">
        <v>900</v>
      </c>
      <c r="BG75" s="92">
        <v>900</v>
      </c>
      <c r="BH75" s="92">
        <v>900</v>
      </c>
      <c r="BI75" s="92">
        <v>900</v>
      </c>
      <c r="BJ75" s="92">
        <v>900</v>
      </c>
      <c r="BK75" s="92">
        <v>900</v>
      </c>
      <c r="BL75" s="92">
        <v>900</v>
      </c>
      <c r="BM75" s="92">
        <v>900</v>
      </c>
      <c r="BN75" s="92">
        <v>900</v>
      </c>
      <c r="BO75" s="92">
        <v>900</v>
      </c>
      <c r="BP75" s="92">
        <v>900</v>
      </c>
      <c r="BQ75" s="92">
        <v>900</v>
      </c>
      <c r="BR75" s="92">
        <v>900</v>
      </c>
      <c r="BS75" s="92">
        <v>900</v>
      </c>
      <c r="BT75" s="92">
        <v>900</v>
      </c>
      <c r="BU75" s="92">
        <v>900</v>
      </c>
      <c r="BV75" s="92">
        <v>900</v>
      </c>
      <c r="BW75" s="92">
        <v>900</v>
      </c>
      <c r="BX75" s="92">
        <v>900</v>
      </c>
      <c r="BY75" s="92">
        <v>900</v>
      </c>
      <c r="BZ75" s="92">
        <v>900</v>
      </c>
      <c r="CA75" s="92">
        <v>900</v>
      </c>
      <c r="CB75" s="92">
        <v>900</v>
      </c>
      <c r="CC75" s="92">
        <v>900</v>
      </c>
      <c r="CD75" s="92">
        <v>900</v>
      </c>
      <c r="CE75" s="92">
        <v>900</v>
      </c>
      <c r="CF75" s="92">
        <v>900</v>
      </c>
      <c r="CG75" s="92">
        <v>900</v>
      </c>
      <c r="CH75" s="92">
        <v>900</v>
      </c>
      <c r="CI75" s="92">
        <v>900</v>
      </c>
      <c r="CJ75" s="92">
        <v>900</v>
      </c>
      <c r="CK75" s="92">
        <v>1600</v>
      </c>
      <c r="CL75" s="92">
        <v>1600</v>
      </c>
      <c r="CM75" s="92">
        <v>1600</v>
      </c>
      <c r="CN75" s="92">
        <v>1600</v>
      </c>
      <c r="CO75" s="92">
        <v>1600</v>
      </c>
      <c r="CP75" s="92">
        <v>1600</v>
      </c>
      <c r="CQ75" s="92">
        <v>1600</v>
      </c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8">
        <v>0</v>
      </c>
      <c r="DE75" s="38"/>
      <c r="DF75" s="111">
        <v>5000</v>
      </c>
      <c r="DH75" s="8">
        <f>+SUM(AN75:DC75)</f>
        <v>55300</v>
      </c>
      <c r="DP75" s="9">
        <f t="shared" ref="DP75:DP85" si="1">+CJ75</f>
        <v>900</v>
      </c>
      <c r="DT75" s="9">
        <v>1600</v>
      </c>
      <c r="FN75" s="7">
        <v>900</v>
      </c>
    </row>
    <row r="76" spans="1:170" s="9" customFormat="1" ht="13.5" x14ac:dyDescent="0.25">
      <c r="A76" s="16">
        <v>23</v>
      </c>
      <c r="B76" s="7" t="s">
        <v>64</v>
      </c>
      <c r="C76" s="8" t="s">
        <v>30</v>
      </c>
      <c r="D76" s="7">
        <v>23</v>
      </c>
      <c r="E76" s="7">
        <v>790</v>
      </c>
      <c r="F76" s="7">
        <v>790</v>
      </c>
      <c r="G76" s="7">
        <v>790</v>
      </c>
      <c r="H76" s="7">
        <v>790</v>
      </c>
      <c r="I76" s="7">
        <v>790</v>
      </c>
      <c r="J76" s="7">
        <v>790</v>
      </c>
      <c r="K76" s="7">
        <v>790</v>
      </c>
      <c r="L76" s="7">
        <v>790</v>
      </c>
      <c r="M76" s="7">
        <v>790</v>
      </c>
      <c r="N76" s="7">
        <v>790</v>
      </c>
      <c r="O76" s="7">
        <v>790</v>
      </c>
      <c r="P76" s="7">
        <v>790</v>
      </c>
      <c r="Q76" s="7">
        <v>790</v>
      </c>
      <c r="R76" s="7">
        <v>790</v>
      </c>
      <c r="S76" s="7">
        <v>790</v>
      </c>
      <c r="T76" s="7">
        <v>790</v>
      </c>
      <c r="U76" s="7">
        <v>790</v>
      </c>
      <c r="V76" s="7">
        <v>790</v>
      </c>
      <c r="W76" s="82">
        <v>790</v>
      </c>
      <c r="X76" s="7">
        <v>790</v>
      </c>
      <c r="Y76" s="7">
        <v>900</v>
      </c>
      <c r="Z76" s="7">
        <v>900</v>
      </c>
      <c r="AA76" s="7">
        <v>900</v>
      </c>
      <c r="AB76" s="7">
        <v>900</v>
      </c>
      <c r="AC76" s="7">
        <v>900</v>
      </c>
      <c r="AD76" s="7">
        <v>900</v>
      </c>
      <c r="AE76" s="7">
        <v>900</v>
      </c>
      <c r="AF76" s="7">
        <v>900</v>
      </c>
      <c r="AG76" s="7">
        <v>900</v>
      </c>
      <c r="AH76" s="7">
        <v>900</v>
      </c>
      <c r="AI76" s="7">
        <v>900</v>
      </c>
      <c r="AJ76" s="7">
        <v>900</v>
      </c>
      <c r="AK76" s="7">
        <v>900</v>
      </c>
      <c r="AL76" s="7">
        <v>900</v>
      </c>
      <c r="AM76" s="7">
        <v>900</v>
      </c>
      <c r="AN76" s="7">
        <v>900</v>
      </c>
      <c r="AO76" s="7">
        <v>900</v>
      </c>
      <c r="AP76" s="7">
        <v>900</v>
      </c>
      <c r="AQ76" s="7">
        <v>900</v>
      </c>
      <c r="AR76" s="7">
        <v>900</v>
      </c>
      <c r="AS76" s="7">
        <v>900</v>
      </c>
      <c r="AT76" s="7">
        <v>900</v>
      </c>
      <c r="AU76" s="92">
        <v>900</v>
      </c>
      <c r="AV76" s="92">
        <v>900</v>
      </c>
      <c r="AW76" s="92">
        <v>900</v>
      </c>
      <c r="AX76" s="92">
        <v>900</v>
      </c>
      <c r="AY76" s="92">
        <v>900</v>
      </c>
      <c r="AZ76" s="92">
        <v>900</v>
      </c>
      <c r="BA76" s="92">
        <v>900</v>
      </c>
      <c r="BB76" s="92">
        <v>900</v>
      </c>
      <c r="BC76" s="92">
        <v>900</v>
      </c>
      <c r="BD76" s="92">
        <v>900</v>
      </c>
      <c r="BE76" s="92">
        <v>900</v>
      </c>
      <c r="BF76" s="92">
        <v>900</v>
      </c>
      <c r="BG76" s="92">
        <v>900</v>
      </c>
      <c r="BH76" s="92">
        <v>900</v>
      </c>
      <c r="BI76" s="92">
        <v>900</v>
      </c>
      <c r="BJ76" s="92">
        <v>900</v>
      </c>
      <c r="BK76" s="92">
        <v>900</v>
      </c>
      <c r="BL76" s="92">
        <v>900</v>
      </c>
      <c r="BM76" s="92">
        <v>900</v>
      </c>
      <c r="BN76" s="92">
        <v>900</v>
      </c>
      <c r="BO76" s="92">
        <v>900</v>
      </c>
      <c r="BP76" s="92">
        <v>900</v>
      </c>
      <c r="BQ76" s="92">
        <v>900</v>
      </c>
      <c r="BR76" s="92">
        <v>900</v>
      </c>
      <c r="BS76" s="92">
        <v>900</v>
      </c>
      <c r="BT76" s="92">
        <v>900</v>
      </c>
      <c r="BU76" s="92">
        <v>900</v>
      </c>
      <c r="BV76" s="92">
        <v>900</v>
      </c>
      <c r="BW76" s="92">
        <v>900</v>
      </c>
      <c r="BX76" s="92">
        <v>900</v>
      </c>
      <c r="BY76" s="92">
        <v>900</v>
      </c>
      <c r="BZ76" s="92">
        <v>900</v>
      </c>
      <c r="CA76" s="92">
        <v>900</v>
      </c>
      <c r="CB76" s="92">
        <v>900</v>
      </c>
      <c r="CC76" s="92">
        <v>900</v>
      </c>
      <c r="CD76" s="92">
        <v>900</v>
      </c>
      <c r="CE76" s="92">
        <v>900</v>
      </c>
      <c r="CF76" s="92">
        <v>900</v>
      </c>
      <c r="CG76" s="92">
        <v>900</v>
      </c>
      <c r="CH76" s="92">
        <v>900</v>
      </c>
      <c r="CI76" s="92">
        <v>900</v>
      </c>
      <c r="CJ76" s="92">
        <f>900+5000</f>
        <v>5900</v>
      </c>
      <c r="CK76" s="92">
        <v>1600</v>
      </c>
      <c r="CL76" s="92">
        <v>1600</v>
      </c>
      <c r="CM76" s="92">
        <v>1600</v>
      </c>
      <c r="CN76" s="92">
        <v>1600</v>
      </c>
      <c r="CO76" s="92">
        <v>1600</v>
      </c>
      <c r="CP76" s="92">
        <v>1600</v>
      </c>
      <c r="CQ76" s="92">
        <v>1600</v>
      </c>
      <c r="CR76" s="92">
        <v>1600</v>
      </c>
      <c r="CS76" s="92">
        <v>1600</v>
      </c>
      <c r="CT76" s="92">
        <v>1600</v>
      </c>
      <c r="CU76" s="92">
        <v>1600</v>
      </c>
      <c r="CV76" s="92">
        <v>1600</v>
      </c>
      <c r="CW76" s="7"/>
      <c r="CX76" s="7"/>
      <c r="CY76" s="7"/>
      <c r="CZ76" s="7"/>
      <c r="DA76" s="7"/>
      <c r="DB76" s="7"/>
      <c r="DC76" s="7"/>
      <c r="DD76" s="8">
        <v>0</v>
      </c>
      <c r="DE76" s="17">
        <v>1000</v>
      </c>
      <c r="DF76" s="111">
        <v>5000</v>
      </c>
      <c r="DH76" s="8">
        <f>+SUM(AU76:DC76)</f>
        <v>62000</v>
      </c>
      <c r="DP76" s="9">
        <f t="shared" si="1"/>
        <v>5900</v>
      </c>
      <c r="DT76" s="9">
        <v>1600</v>
      </c>
      <c r="FN76" s="7">
        <v>900</v>
      </c>
    </row>
    <row r="77" spans="1:170" s="9" customFormat="1" ht="13.5" x14ac:dyDescent="0.25">
      <c r="A77" s="16">
        <v>24</v>
      </c>
      <c r="B77" s="7" t="s">
        <v>64</v>
      </c>
      <c r="C77" s="8" t="s">
        <v>124</v>
      </c>
      <c r="D77" s="7">
        <v>24</v>
      </c>
      <c r="E77" s="7">
        <v>790</v>
      </c>
      <c r="F77" s="7">
        <v>790</v>
      </c>
      <c r="G77" s="7">
        <v>790</v>
      </c>
      <c r="H77" s="7">
        <v>790</v>
      </c>
      <c r="I77" s="7">
        <v>790</v>
      </c>
      <c r="J77" s="7">
        <v>790</v>
      </c>
      <c r="K77" s="7">
        <v>790</v>
      </c>
      <c r="L77" s="7">
        <v>790</v>
      </c>
      <c r="M77" s="7">
        <v>790</v>
      </c>
      <c r="N77" s="7">
        <v>790</v>
      </c>
      <c r="O77" s="7">
        <v>790</v>
      </c>
      <c r="P77" s="7">
        <v>790</v>
      </c>
      <c r="Q77" s="7">
        <v>790</v>
      </c>
      <c r="R77" s="7">
        <v>790</v>
      </c>
      <c r="S77" s="7">
        <v>790</v>
      </c>
      <c r="T77" s="7">
        <v>790</v>
      </c>
      <c r="U77" s="7">
        <v>790</v>
      </c>
      <c r="V77" s="7">
        <v>790</v>
      </c>
      <c r="W77" s="82">
        <v>900</v>
      </c>
      <c r="X77" s="7">
        <v>900</v>
      </c>
      <c r="Y77" s="7">
        <v>900</v>
      </c>
      <c r="Z77" s="7">
        <v>900</v>
      </c>
      <c r="AA77" s="7">
        <v>900</v>
      </c>
      <c r="AB77" s="7">
        <v>900</v>
      </c>
      <c r="AC77" s="7">
        <v>900</v>
      </c>
      <c r="AD77" s="7">
        <v>900</v>
      </c>
      <c r="AE77" s="7">
        <v>900</v>
      </c>
      <c r="AF77" s="7">
        <v>900</v>
      </c>
      <c r="AG77" s="7">
        <v>900</v>
      </c>
      <c r="AH77" s="7">
        <v>900</v>
      </c>
      <c r="AI77" s="7">
        <v>900</v>
      </c>
      <c r="AJ77" s="7">
        <v>900</v>
      </c>
      <c r="AK77" s="7">
        <v>900</v>
      </c>
      <c r="AL77" s="7">
        <v>900</v>
      </c>
      <c r="AM77" s="7">
        <v>900</v>
      </c>
      <c r="AN77" s="7">
        <v>900</v>
      </c>
      <c r="AO77" s="7">
        <v>900</v>
      </c>
      <c r="AP77" s="7">
        <v>900</v>
      </c>
      <c r="AQ77" s="7">
        <v>900</v>
      </c>
      <c r="AR77" s="7">
        <v>900</v>
      </c>
      <c r="AS77" s="7">
        <v>900</v>
      </c>
      <c r="AT77" s="7">
        <v>900</v>
      </c>
      <c r="AU77" s="92">
        <v>900</v>
      </c>
      <c r="AV77" s="92">
        <v>900</v>
      </c>
      <c r="AW77" s="92">
        <v>900</v>
      </c>
      <c r="AX77" s="92">
        <v>900</v>
      </c>
      <c r="AY77" s="92">
        <v>900</v>
      </c>
      <c r="AZ77" s="92">
        <v>900</v>
      </c>
      <c r="BA77" s="92">
        <v>900</v>
      </c>
      <c r="BB77" s="92">
        <v>900</v>
      </c>
      <c r="BC77" s="92">
        <v>900</v>
      </c>
      <c r="BD77" s="92">
        <v>900</v>
      </c>
      <c r="BE77" s="92">
        <v>900</v>
      </c>
      <c r="BF77" s="92">
        <v>900</v>
      </c>
      <c r="BG77" s="92">
        <v>900</v>
      </c>
      <c r="BH77" s="92">
        <v>900</v>
      </c>
      <c r="BI77" s="92">
        <v>900</v>
      </c>
      <c r="BJ77" s="92">
        <v>900</v>
      </c>
      <c r="BK77" s="92">
        <v>900</v>
      </c>
      <c r="BL77" s="92">
        <v>900</v>
      </c>
      <c r="BM77" s="92">
        <v>900</v>
      </c>
      <c r="BN77" s="92">
        <v>900</v>
      </c>
      <c r="BO77" s="92">
        <v>900</v>
      </c>
      <c r="BP77" s="92">
        <v>900</v>
      </c>
      <c r="BQ77" s="92">
        <v>900</v>
      </c>
      <c r="BR77" s="92">
        <v>900</v>
      </c>
      <c r="BS77" s="92">
        <v>900</v>
      </c>
      <c r="BT77" s="92">
        <v>900</v>
      </c>
      <c r="BU77" s="92">
        <v>900</v>
      </c>
      <c r="BV77" s="92">
        <v>900</v>
      </c>
      <c r="BW77" s="92">
        <v>900</v>
      </c>
      <c r="BX77" s="92">
        <v>900</v>
      </c>
      <c r="BY77" s="92">
        <v>900</v>
      </c>
      <c r="BZ77" s="92">
        <v>900</v>
      </c>
      <c r="CA77" s="92">
        <v>900</v>
      </c>
      <c r="CB77" s="92">
        <v>900</v>
      </c>
      <c r="CC77" s="92">
        <v>900</v>
      </c>
      <c r="CD77" s="92">
        <v>900</v>
      </c>
      <c r="CE77" s="92">
        <v>900</v>
      </c>
      <c r="CF77" s="92">
        <v>900</v>
      </c>
      <c r="CG77" s="92">
        <v>900</v>
      </c>
      <c r="CH77" s="92">
        <v>900</v>
      </c>
      <c r="CI77" s="92">
        <v>900</v>
      </c>
      <c r="CJ77" s="92">
        <v>5000</v>
      </c>
      <c r="CK77" s="92">
        <v>2500</v>
      </c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8">
        <f>1600*8</f>
        <v>12800</v>
      </c>
      <c r="DE77" s="17"/>
      <c r="DF77" s="111">
        <v>5000</v>
      </c>
      <c r="DH77" s="8">
        <f>+SUM(AU77:DC77)</f>
        <v>44400</v>
      </c>
      <c r="DP77" s="9">
        <v>900</v>
      </c>
      <c r="DT77" s="9">
        <v>1600</v>
      </c>
      <c r="FN77" s="7">
        <v>900</v>
      </c>
    </row>
    <row r="78" spans="1:170" s="9" customFormat="1" ht="13.5" x14ac:dyDescent="0.25">
      <c r="A78" s="16">
        <v>25</v>
      </c>
      <c r="B78" s="7" t="s">
        <v>64</v>
      </c>
      <c r="C78" s="8" t="s">
        <v>31</v>
      </c>
      <c r="D78" s="7">
        <v>25</v>
      </c>
      <c r="E78" s="7">
        <v>790</v>
      </c>
      <c r="F78" s="7">
        <v>790</v>
      </c>
      <c r="G78" s="7">
        <v>790</v>
      </c>
      <c r="H78" s="7">
        <v>790</v>
      </c>
      <c r="I78" s="7">
        <v>790</v>
      </c>
      <c r="J78" s="7">
        <v>790</v>
      </c>
      <c r="K78" s="7">
        <v>790</v>
      </c>
      <c r="L78" s="7">
        <v>790</v>
      </c>
      <c r="M78" s="7">
        <v>790</v>
      </c>
      <c r="N78" s="7">
        <v>790</v>
      </c>
      <c r="O78" s="7">
        <v>790</v>
      </c>
      <c r="P78" s="7">
        <v>790</v>
      </c>
      <c r="Q78" s="7">
        <v>790</v>
      </c>
      <c r="R78" s="7">
        <v>790</v>
      </c>
      <c r="S78" s="7">
        <v>790</v>
      </c>
      <c r="T78" s="7">
        <v>790</v>
      </c>
      <c r="U78" s="7">
        <v>790</v>
      </c>
      <c r="V78" s="7">
        <v>790</v>
      </c>
      <c r="W78" s="82">
        <v>900</v>
      </c>
      <c r="X78" s="7">
        <v>900</v>
      </c>
      <c r="Y78" s="7">
        <v>900</v>
      </c>
      <c r="Z78" s="7">
        <v>900</v>
      </c>
      <c r="AA78" s="7">
        <v>900</v>
      </c>
      <c r="AB78" s="7">
        <v>900</v>
      </c>
      <c r="AC78" s="7">
        <v>900</v>
      </c>
      <c r="AD78" s="7">
        <v>900</v>
      </c>
      <c r="AE78" s="7">
        <v>900</v>
      </c>
      <c r="AF78" s="7">
        <v>900</v>
      </c>
      <c r="AG78" s="7">
        <v>900</v>
      </c>
      <c r="AH78" s="7">
        <v>900</v>
      </c>
      <c r="AI78" s="7">
        <v>900</v>
      </c>
      <c r="AJ78" s="7">
        <v>900</v>
      </c>
      <c r="AK78" s="7">
        <v>900</v>
      </c>
      <c r="AL78" s="7">
        <v>900</v>
      </c>
      <c r="AM78" s="7">
        <v>900</v>
      </c>
      <c r="AN78" s="7">
        <v>900</v>
      </c>
      <c r="AO78" s="7">
        <v>900</v>
      </c>
      <c r="AP78" s="7">
        <v>900</v>
      </c>
      <c r="AQ78" s="7">
        <v>900</v>
      </c>
      <c r="AR78" s="7">
        <v>900</v>
      </c>
      <c r="AS78" s="7">
        <v>900</v>
      </c>
      <c r="AT78" s="7">
        <v>900</v>
      </c>
      <c r="AU78" s="7">
        <v>900</v>
      </c>
      <c r="AV78" s="92">
        <v>900</v>
      </c>
      <c r="AW78" s="92">
        <v>900</v>
      </c>
      <c r="AX78" s="92">
        <v>900</v>
      </c>
      <c r="AY78" s="92">
        <v>900</v>
      </c>
      <c r="AZ78" s="92">
        <v>900</v>
      </c>
      <c r="BA78" s="92">
        <v>900</v>
      </c>
      <c r="BB78" s="92">
        <v>900</v>
      </c>
      <c r="BC78" s="92">
        <v>900</v>
      </c>
      <c r="BD78" s="92">
        <v>900</v>
      </c>
      <c r="BE78" s="92">
        <v>900</v>
      </c>
      <c r="BF78" s="92">
        <v>900</v>
      </c>
      <c r="BG78" s="92">
        <v>900</v>
      </c>
      <c r="BH78" s="92">
        <v>900</v>
      </c>
      <c r="BI78" s="92">
        <v>900</v>
      </c>
      <c r="BJ78" s="92">
        <v>900</v>
      </c>
      <c r="BK78" s="92">
        <v>900</v>
      </c>
      <c r="BL78" s="92">
        <v>900</v>
      </c>
      <c r="BM78" s="92">
        <v>900</v>
      </c>
      <c r="BN78" s="92">
        <v>900</v>
      </c>
      <c r="BO78" s="92">
        <v>900</v>
      </c>
      <c r="BP78" s="92">
        <v>900</v>
      </c>
      <c r="BQ78" s="92">
        <v>900</v>
      </c>
      <c r="BR78" s="92">
        <v>900</v>
      </c>
      <c r="BS78" s="92">
        <v>900</v>
      </c>
      <c r="BT78" s="92">
        <v>900</v>
      </c>
      <c r="BU78" s="92">
        <v>900</v>
      </c>
      <c r="BV78" s="92">
        <v>900</v>
      </c>
      <c r="BW78" s="92">
        <v>900</v>
      </c>
      <c r="BX78" s="92">
        <v>900</v>
      </c>
      <c r="BY78" s="92">
        <v>1050</v>
      </c>
      <c r="BZ78" s="92">
        <v>900</v>
      </c>
      <c r="CA78" s="92">
        <v>900</v>
      </c>
      <c r="CB78" s="92">
        <v>900</v>
      </c>
      <c r="CC78" s="92">
        <v>900</v>
      </c>
      <c r="CD78" s="92">
        <v>900</v>
      </c>
      <c r="CE78" s="92">
        <v>900</v>
      </c>
      <c r="CF78" s="92">
        <v>900</v>
      </c>
      <c r="CG78" s="92">
        <v>900</v>
      </c>
      <c r="CH78" s="92">
        <v>900</v>
      </c>
      <c r="CI78" s="92">
        <v>900</v>
      </c>
      <c r="CJ78" s="92">
        <v>5900</v>
      </c>
      <c r="CK78" s="92">
        <v>1600</v>
      </c>
      <c r="CL78" s="92">
        <v>1600</v>
      </c>
      <c r="CM78" s="92">
        <v>1600</v>
      </c>
      <c r="CN78" s="92">
        <v>1600</v>
      </c>
      <c r="CO78" s="92">
        <v>1600</v>
      </c>
      <c r="CP78" s="92">
        <v>1600</v>
      </c>
      <c r="CQ78" s="92">
        <v>1600</v>
      </c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8">
        <f>1600*2</f>
        <v>3200</v>
      </c>
      <c r="DE78" s="38" t="s">
        <v>121</v>
      </c>
      <c r="DF78" s="111">
        <v>5000</v>
      </c>
      <c r="DH78" s="8">
        <f>+SUM(AV78:DC78)</f>
        <v>53250</v>
      </c>
      <c r="DP78" s="9">
        <v>900</v>
      </c>
      <c r="DT78" s="9">
        <v>1600</v>
      </c>
      <c r="FN78" s="7">
        <v>900</v>
      </c>
    </row>
    <row r="79" spans="1:170" s="9" customFormat="1" ht="13.5" x14ac:dyDescent="0.25">
      <c r="A79" s="16">
        <v>26</v>
      </c>
      <c r="B79" s="7" t="s">
        <v>64</v>
      </c>
      <c r="C79" s="8" t="s">
        <v>32</v>
      </c>
      <c r="D79" s="7">
        <v>26</v>
      </c>
      <c r="E79" s="7">
        <v>870</v>
      </c>
      <c r="F79" s="7">
        <v>870</v>
      </c>
      <c r="G79" s="92">
        <v>870</v>
      </c>
      <c r="H79" s="7">
        <v>870</v>
      </c>
      <c r="I79" s="7">
        <v>870</v>
      </c>
      <c r="J79" s="92">
        <v>870</v>
      </c>
      <c r="K79" s="92">
        <v>870</v>
      </c>
      <c r="L79" s="92">
        <v>870</v>
      </c>
      <c r="M79" s="92">
        <v>870</v>
      </c>
      <c r="N79" s="92">
        <v>870</v>
      </c>
      <c r="O79" s="92">
        <v>870</v>
      </c>
      <c r="P79" s="7">
        <v>870</v>
      </c>
      <c r="Q79" s="92">
        <v>870</v>
      </c>
      <c r="R79" s="7">
        <v>870</v>
      </c>
      <c r="S79" s="7">
        <v>870</v>
      </c>
      <c r="T79" s="92">
        <v>870</v>
      </c>
      <c r="U79" s="92">
        <v>870</v>
      </c>
      <c r="V79" s="92">
        <v>870</v>
      </c>
      <c r="W79" s="82">
        <v>870</v>
      </c>
      <c r="X79" s="7">
        <v>870</v>
      </c>
      <c r="Y79" s="7">
        <v>870</v>
      </c>
      <c r="Z79" s="7">
        <v>870</v>
      </c>
      <c r="AA79" s="7">
        <v>870</v>
      </c>
      <c r="AB79" s="7">
        <v>870</v>
      </c>
      <c r="AC79" s="7">
        <v>870</v>
      </c>
      <c r="AD79" s="7">
        <v>870</v>
      </c>
      <c r="AE79" s="7">
        <v>870</v>
      </c>
      <c r="AF79" s="7">
        <v>870</v>
      </c>
      <c r="AG79" s="7">
        <v>870</v>
      </c>
      <c r="AH79" s="7">
        <v>870</v>
      </c>
      <c r="AI79" s="7">
        <v>870</v>
      </c>
      <c r="AJ79" s="7">
        <v>870</v>
      </c>
      <c r="AK79" s="7">
        <v>870</v>
      </c>
      <c r="AL79" s="7">
        <v>870</v>
      </c>
      <c r="AM79" s="7">
        <v>870</v>
      </c>
      <c r="AN79" s="7">
        <v>870</v>
      </c>
      <c r="AO79" s="7">
        <v>870</v>
      </c>
      <c r="AP79" s="7">
        <v>870</v>
      </c>
      <c r="AQ79" s="7">
        <v>870</v>
      </c>
      <c r="AR79" s="7">
        <v>870</v>
      </c>
      <c r="AS79" s="7">
        <v>870</v>
      </c>
      <c r="AT79" s="7">
        <v>870</v>
      </c>
      <c r="AU79" s="7">
        <v>870</v>
      </c>
      <c r="AV79" s="7">
        <v>870</v>
      </c>
      <c r="AW79" s="7">
        <v>870</v>
      </c>
      <c r="AX79" s="7">
        <v>870</v>
      </c>
      <c r="AY79" s="7">
        <v>870</v>
      </c>
      <c r="AZ79" s="92">
        <v>870</v>
      </c>
      <c r="BA79" s="92">
        <v>870</v>
      </c>
      <c r="BB79" s="92">
        <v>870</v>
      </c>
      <c r="BC79" s="92">
        <v>870</v>
      </c>
      <c r="BD79" s="92">
        <v>870</v>
      </c>
      <c r="BE79" s="92">
        <v>870</v>
      </c>
      <c r="BF79" s="92">
        <v>870</v>
      </c>
      <c r="BG79" s="92">
        <v>870</v>
      </c>
      <c r="BH79" s="92">
        <v>870</v>
      </c>
      <c r="BI79" s="92">
        <v>870</v>
      </c>
      <c r="BJ79" s="92">
        <v>870</v>
      </c>
      <c r="BK79" s="92">
        <v>870</v>
      </c>
      <c r="BL79" s="92">
        <v>870</v>
      </c>
      <c r="BM79" s="92">
        <v>870</v>
      </c>
      <c r="BN79" s="92">
        <v>870</v>
      </c>
      <c r="BO79" s="92">
        <v>870</v>
      </c>
      <c r="BP79" s="92">
        <v>980</v>
      </c>
      <c r="BQ79" s="92">
        <f>980+1320</f>
        <v>2300</v>
      </c>
      <c r="BR79" s="92">
        <v>980</v>
      </c>
      <c r="BS79" s="92">
        <v>980</v>
      </c>
      <c r="BT79" s="92">
        <v>980</v>
      </c>
      <c r="BU79" s="92">
        <v>980</v>
      </c>
      <c r="BV79" s="92">
        <v>980</v>
      </c>
      <c r="BW79" s="92">
        <v>980</v>
      </c>
      <c r="BX79" s="92">
        <v>980</v>
      </c>
      <c r="BY79" s="92">
        <v>980</v>
      </c>
      <c r="BZ79" s="92">
        <v>980</v>
      </c>
      <c r="CA79" s="92">
        <v>980</v>
      </c>
      <c r="CB79" s="92">
        <v>980</v>
      </c>
      <c r="CC79" s="92">
        <v>980</v>
      </c>
      <c r="CD79" s="92">
        <v>980</v>
      </c>
      <c r="CE79" s="92">
        <v>980</v>
      </c>
      <c r="CF79" s="92">
        <v>980</v>
      </c>
      <c r="CG79" s="92">
        <v>980</v>
      </c>
      <c r="CH79" s="92">
        <v>980</v>
      </c>
      <c r="CI79" s="92">
        <v>980</v>
      </c>
      <c r="CJ79" s="92">
        <f>980+8000</f>
        <v>8980</v>
      </c>
      <c r="CK79" s="92">
        <v>1760</v>
      </c>
      <c r="CL79" s="92">
        <v>1760</v>
      </c>
      <c r="CM79" s="92">
        <v>1760</v>
      </c>
      <c r="CN79" s="92">
        <v>1760</v>
      </c>
      <c r="CO79" s="92">
        <v>1760</v>
      </c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8">
        <f>1760*4</f>
        <v>7040</v>
      </c>
      <c r="DE79" s="17" t="s">
        <v>116</v>
      </c>
      <c r="DF79" s="113"/>
      <c r="DH79" s="8">
        <f>+SUM(AZ79:DC79)</f>
        <v>52620</v>
      </c>
      <c r="DP79" s="9">
        <v>900</v>
      </c>
      <c r="DT79" s="9">
        <v>1760</v>
      </c>
      <c r="FN79" s="7">
        <v>980</v>
      </c>
    </row>
    <row r="80" spans="1:170" s="9" customFormat="1" ht="13.5" x14ac:dyDescent="0.25">
      <c r="A80" s="16">
        <v>27</v>
      </c>
      <c r="B80" s="7" t="s">
        <v>64</v>
      </c>
      <c r="C80" s="8" t="s">
        <v>51</v>
      </c>
      <c r="D80" s="7">
        <v>27</v>
      </c>
      <c r="E80" s="7">
        <v>790</v>
      </c>
      <c r="F80" s="7">
        <v>790</v>
      </c>
      <c r="G80" s="7">
        <v>790</v>
      </c>
      <c r="H80" s="7">
        <v>790</v>
      </c>
      <c r="I80" s="7">
        <v>790</v>
      </c>
      <c r="J80" s="7">
        <v>790</v>
      </c>
      <c r="K80" s="7">
        <v>790</v>
      </c>
      <c r="L80" s="7">
        <v>790</v>
      </c>
      <c r="M80" s="7">
        <v>790</v>
      </c>
      <c r="N80" s="7">
        <v>790</v>
      </c>
      <c r="O80" s="7">
        <v>790</v>
      </c>
      <c r="P80" s="7">
        <v>790</v>
      </c>
      <c r="Q80" s="7">
        <v>790</v>
      </c>
      <c r="R80" s="7">
        <v>790</v>
      </c>
      <c r="S80" s="7">
        <v>790</v>
      </c>
      <c r="T80" s="7">
        <v>790</v>
      </c>
      <c r="U80" s="7">
        <v>790</v>
      </c>
      <c r="V80" s="7">
        <v>790</v>
      </c>
      <c r="W80" s="82">
        <v>900</v>
      </c>
      <c r="X80" s="7">
        <v>900</v>
      </c>
      <c r="Y80" s="7">
        <v>900</v>
      </c>
      <c r="Z80" s="7">
        <v>900</v>
      </c>
      <c r="AA80" s="7">
        <v>900</v>
      </c>
      <c r="AB80" s="7">
        <v>900</v>
      </c>
      <c r="AC80" s="7">
        <v>900</v>
      </c>
      <c r="AD80" s="7">
        <v>900</v>
      </c>
      <c r="AE80" s="7">
        <v>900</v>
      </c>
      <c r="AF80" s="7">
        <v>900</v>
      </c>
      <c r="AG80" s="7">
        <v>900</v>
      </c>
      <c r="AH80" s="7">
        <v>900</v>
      </c>
      <c r="AI80" s="7">
        <v>900</v>
      </c>
      <c r="AJ80" s="7">
        <v>900</v>
      </c>
      <c r="AK80" s="7">
        <v>900</v>
      </c>
      <c r="AL80" s="7">
        <v>900</v>
      </c>
      <c r="AM80" s="7">
        <v>900</v>
      </c>
      <c r="AN80" s="7">
        <v>900</v>
      </c>
      <c r="AO80" s="7">
        <v>900</v>
      </c>
      <c r="AP80" s="7">
        <v>900</v>
      </c>
      <c r="AQ80" s="7">
        <v>900</v>
      </c>
      <c r="AR80" s="7">
        <v>900</v>
      </c>
      <c r="AS80" s="7">
        <v>900</v>
      </c>
      <c r="AT80" s="7">
        <v>900</v>
      </c>
      <c r="AU80" s="7">
        <v>900</v>
      </c>
      <c r="AV80" s="7">
        <v>900</v>
      </c>
      <c r="AW80" s="7">
        <v>900</v>
      </c>
      <c r="AX80" s="92">
        <v>900</v>
      </c>
      <c r="AY80" s="92">
        <v>900</v>
      </c>
      <c r="AZ80" s="92">
        <v>900</v>
      </c>
      <c r="BA80" s="92">
        <v>900</v>
      </c>
      <c r="BB80" s="92">
        <v>900</v>
      </c>
      <c r="BC80" s="92">
        <v>900</v>
      </c>
      <c r="BD80" s="92">
        <v>900</v>
      </c>
      <c r="BE80" s="92">
        <v>900</v>
      </c>
      <c r="BF80" s="92">
        <v>900</v>
      </c>
      <c r="BG80" s="92">
        <v>900</v>
      </c>
      <c r="BH80" s="92">
        <v>900</v>
      </c>
      <c r="BI80" s="92">
        <v>900</v>
      </c>
      <c r="BJ80" s="92">
        <v>900</v>
      </c>
      <c r="BK80" s="92">
        <v>900</v>
      </c>
      <c r="BL80" s="92">
        <v>900</v>
      </c>
      <c r="BM80" s="92">
        <v>900</v>
      </c>
      <c r="BN80" s="92">
        <v>900</v>
      </c>
      <c r="BO80" s="92">
        <v>900</v>
      </c>
      <c r="BP80" s="92">
        <v>900</v>
      </c>
      <c r="BQ80" s="92">
        <v>900</v>
      </c>
      <c r="BR80" s="92">
        <v>900</v>
      </c>
      <c r="BS80" s="92">
        <v>900</v>
      </c>
      <c r="BT80" s="92">
        <v>900</v>
      </c>
      <c r="BU80" s="92">
        <v>900</v>
      </c>
      <c r="BV80" s="92">
        <v>900</v>
      </c>
      <c r="BW80" s="92">
        <v>900</v>
      </c>
      <c r="BX80" s="92">
        <v>900</v>
      </c>
      <c r="BY80" s="92">
        <v>900</v>
      </c>
      <c r="BZ80" s="92">
        <v>900</v>
      </c>
      <c r="CA80" s="92">
        <v>900</v>
      </c>
      <c r="CB80" s="92">
        <v>900</v>
      </c>
      <c r="CC80" s="92">
        <v>900</v>
      </c>
      <c r="CD80" s="92">
        <v>900</v>
      </c>
      <c r="CE80" s="92">
        <v>900</v>
      </c>
      <c r="CF80" s="92">
        <v>900</v>
      </c>
      <c r="CG80" s="92">
        <v>900</v>
      </c>
      <c r="CH80" s="92">
        <v>900</v>
      </c>
      <c r="CI80" s="92">
        <v>900</v>
      </c>
      <c r="CJ80" s="92">
        <v>900</v>
      </c>
      <c r="CK80" s="92">
        <v>6600</v>
      </c>
      <c r="CL80" s="92">
        <v>1600</v>
      </c>
      <c r="CM80" s="92">
        <v>1600</v>
      </c>
      <c r="CN80" s="92">
        <v>1600</v>
      </c>
      <c r="CO80" s="92">
        <v>1600</v>
      </c>
      <c r="CP80" s="92">
        <v>1600</v>
      </c>
      <c r="CQ80" s="92">
        <v>1600</v>
      </c>
      <c r="CR80" s="92">
        <v>1600</v>
      </c>
      <c r="CS80" s="92">
        <v>1600</v>
      </c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8">
        <v>0</v>
      </c>
      <c r="DE80" s="38"/>
      <c r="DF80" s="111">
        <v>5000</v>
      </c>
      <c r="DH80" s="8">
        <f>+SUM(AX80:DC80)</f>
        <v>54500</v>
      </c>
      <c r="DP80" s="9">
        <f t="shared" si="1"/>
        <v>900</v>
      </c>
      <c r="DT80" s="9">
        <v>1600</v>
      </c>
      <c r="FN80" s="7">
        <v>900</v>
      </c>
    </row>
    <row r="81" spans="1:170" s="9" customFormat="1" ht="13.5" x14ac:dyDescent="0.25">
      <c r="A81" s="16">
        <v>28</v>
      </c>
      <c r="B81" s="7" t="s">
        <v>64</v>
      </c>
      <c r="C81" s="8" t="s">
        <v>33</v>
      </c>
      <c r="D81" s="7">
        <v>28</v>
      </c>
      <c r="E81" s="7">
        <v>790</v>
      </c>
      <c r="F81" s="7">
        <v>790</v>
      </c>
      <c r="G81" s="7">
        <v>790</v>
      </c>
      <c r="H81" s="7">
        <v>790</v>
      </c>
      <c r="I81" s="7">
        <v>790</v>
      </c>
      <c r="J81" s="7">
        <v>790</v>
      </c>
      <c r="K81" s="7">
        <v>790</v>
      </c>
      <c r="L81" s="7">
        <v>790</v>
      </c>
      <c r="M81" s="7">
        <v>790</v>
      </c>
      <c r="N81" s="7">
        <v>790</v>
      </c>
      <c r="O81" s="7">
        <v>790</v>
      </c>
      <c r="P81" s="7">
        <v>790</v>
      </c>
      <c r="Q81" s="7">
        <v>790</v>
      </c>
      <c r="R81" s="7">
        <v>790</v>
      </c>
      <c r="S81" s="7">
        <v>790</v>
      </c>
      <c r="T81" s="7">
        <v>790</v>
      </c>
      <c r="U81" s="7">
        <v>790</v>
      </c>
      <c r="V81" s="7">
        <v>790</v>
      </c>
      <c r="W81" s="82">
        <v>900</v>
      </c>
      <c r="X81" s="7">
        <v>900</v>
      </c>
      <c r="Y81" s="7">
        <v>900</v>
      </c>
      <c r="Z81" s="7">
        <v>900</v>
      </c>
      <c r="AA81" s="7">
        <v>900</v>
      </c>
      <c r="AB81" s="7">
        <v>900</v>
      </c>
      <c r="AC81" s="7">
        <v>900</v>
      </c>
      <c r="AD81" s="7">
        <v>900</v>
      </c>
      <c r="AE81" s="7">
        <v>900</v>
      </c>
      <c r="AF81" s="7">
        <v>900</v>
      </c>
      <c r="AG81" s="7">
        <v>900</v>
      </c>
      <c r="AH81" s="7">
        <v>900</v>
      </c>
      <c r="AI81" s="7">
        <v>900</v>
      </c>
      <c r="AJ81" s="7">
        <v>900</v>
      </c>
      <c r="AK81" s="7">
        <v>900</v>
      </c>
      <c r="AL81" s="92">
        <v>900</v>
      </c>
      <c r="AM81" s="92">
        <v>900</v>
      </c>
      <c r="AN81" s="92">
        <v>900</v>
      </c>
      <c r="AO81" s="92">
        <v>900</v>
      </c>
      <c r="AP81" s="92">
        <v>900</v>
      </c>
      <c r="AQ81" s="92">
        <v>900</v>
      </c>
      <c r="AR81" s="92">
        <v>900</v>
      </c>
      <c r="AS81" s="92">
        <v>900</v>
      </c>
      <c r="AT81" s="92">
        <v>900</v>
      </c>
      <c r="AU81" s="92">
        <v>900</v>
      </c>
      <c r="AV81" s="92">
        <v>900</v>
      </c>
      <c r="AW81" s="92">
        <v>900</v>
      </c>
      <c r="AX81" s="92">
        <v>900</v>
      </c>
      <c r="AY81" s="92">
        <v>900</v>
      </c>
      <c r="AZ81" s="92">
        <v>900</v>
      </c>
      <c r="BA81" s="92">
        <v>900</v>
      </c>
      <c r="BB81" s="92">
        <v>900</v>
      </c>
      <c r="BC81" s="92">
        <v>900</v>
      </c>
      <c r="BD81" s="92">
        <v>900</v>
      </c>
      <c r="BE81" s="92">
        <v>900</v>
      </c>
      <c r="BF81" s="92">
        <v>900</v>
      </c>
      <c r="BG81" s="92">
        <v>900</v>
      </c>
      <c r="BH81" s="92">
        <v>900</v>
      </c>
      <c r="BI81" s="92">
        <v>900</v>
      </c>
      <c r="BJ81" s="92">
        <v>900</v>
      </c>
      <c r="BK81" s="92">
        <v>900</v>
      </c>
      <c r="BL81" s="92">
        <v>900</v>
      </c>
      <c r="BM81" s="92">
        <v>900</v>
      </c>
      <c r="BN81" s="92">
        <v>900</v>
      </c>
      <c r="BO81" s="92">
        <v>900</v>
      </c>
      <c r="BP81" s="92">
        <v>900</v>
      </c>
      <c r="BQ81" s="92">
        <v>900</v>
      </c>
      <c r="BR81" s="92">
        <v>900</v>
      </c>
      <c r="BS81" s="92">
        <v>900</v>
      </c>
      <c r="BT81" s="92">
        <v>900</v>
      </c>
      <c r="BU81" s="92">
        <v>900</v>
      </c>
      <c r="BV81" s="92">
        <v>900</v>
      </c>
      <c r="BW81" s="92">
        <v>900</v>
      </c>
      <c r="BX81" s="92">
        <v>900</v>
      </c>
      <c r="BY81" s="92">
        <v>900</v>
      </c>
      <c r="BZ81" s="92">
        <v>900</v>
      </c>
      <c r="CA81" s="92">
        <v>900</v>
      </c>
      <c r="CB81" s="92">
        <v>900</v>
      </c>
      <c r="CC81" s="92">
        <v>900</v>
      </c>
      <c r="CD81" s="92">
        <v>900</v>
      </c>
      <c r="CE81" s="92">
        <v>900</v>
      </c>
      <c r="CF81" s="92">
        <v>900</v>
      </c>
      <c r="CG81" s="92">
        <v>900</v>
      </c>
      <c r="CH81" s="92">
        <v>900</v>
      </c>
      <c r="CI81" s="92">
        <v>900</v>
      </c>
      <c r="CJ81" s="92">
        <f>900+5000</f>
        <v>5900</v>
      </c>
      <c r="CK81" s="92">
        <v>1600</v>
      </c>
      <c r="CL81" s="92">
        <v>1600</v>
      </c>
      <c r="CM81" s="92">
        <v>1600</v>
      </c>
      <c r="CN81" s="92">
        <v>1600</v>
      </c>
      <c r="CO81" s="92">
        <v>1600</v>
      </c>
      <c r="CP81" s="92">
        <v>1600</v>
      </c>
      <c r="CQ81" s="92">
        <v>1600</v>
      </c>
      <c r="CR81" s="92">
        <v>1600</v>
      </c>
      <c r="CS81" s="92">
        <v>1600</v>
      </c>
      <c r="CT81" s="92">
        <v>1600</v>
      </c>
      <c r="CU81" s="92">
        <v>1600</v>
      </c>
      <c r="CV81" s="92">
        <v>1600</v>
      </c>
      <c r="CW81" s="7"/>
      <c r="CX81" s="7"/>
      <c r="CY81" s="7"/>
      <c r="CZ81" s="7"/>
      <c r="DA81" s="7"/>
      <c r="DB81" s="7"/>
      <c r="DC81" s="7"/>
      <c r="DD81" s="8">
        <v>0</v>
      </c>
      <c r="DE81" s="38"/>
      <c r="DF81" s="111">
        <v>5000</v>
      </c>
      <c r="DH81" s="8">
        <f>+SUM(AL81:DC81)</f>
        <v>70100</v>
      </c>
      <c r="DP81" s="9">
        <f t="shared" si="1"/>
        <v>5900</v>
      </c>
      <c r="DT81" s="9">
        <v>1600</v>
      </c>
      <c r="FN81" s="7">
        <v>900</v>
      </c>
    </row>
    <row r="82" spans="1:170" s="9" customFormat="1" ht="13.5" x14ac:dyDescent="0.25">
      <c r="A82" s="16">
        <v>29</v>
      </c>
      <c r="B82" s="7" t="s">
        <v>64</v>
      </c>
      <c r="C82" s="8" t="s">
        <v>34</v>
      </c>
      <c r="D82" s="7">
        <v>29</v>
      </c>
      <c r="E82" s="7">
        <v>790</v>
      </c>
      <c r="F82" s="7">
        <v>790</v>
      </c>
      <c r="G82" s="7">
        <v>790</v>
      </c>
      <c r="H82" s="7">
        <v>790</v>
      </c>
      <c r="I82" s="7">
        <v>790</v>
      </c>
      <c r="J82" s="7">
        <v>790</v>
      </c>
      <c r="K82" s="7">
        <v>790</v>
      </c>
      <c r="L82" s="7">
        <v>790</v>
      </c>
      <c r="M82" s="7">
        <v>790</v>
      </c>
      <c r="N82" s="7">
        <v>790</v>
      </c>
      <c r="O82" s="7">
        <v>790</v>
      </c>
      <c r="P82" s="7">
        <v>790</v>
      </c>
      <c r="Q82" s="7">
        <v>790</v>
      </c>
      <c r="R82" s="7">
        <v>790</v>
      </c>
      <c r="S82" s="7">
        <v>790</v>
      </c>
      <c r="T82" s="7">
        <v>790</v>
      </c>
      <c r="U82" s="7">
        <v>790</v>
      </c>
      <c r="V82" s="7">
        <v>790</v>
      </c>
      <c r="W82" s="82">
        <v>900</v>
      </c>
      <c r="X82" s="7">
        <v>900</v>
      </c>
      <c r="Y82" s="7">
        <v>900</v>
      </c>
      <c r="Z82" s="7">
        <v>900</v>
      </c>
      <c r="AA82" s="7">
        <v>900</v>
      </c>
      <c r="AB82" s="7">
        <v>900</v>
      </c>
      <c r="AC82" s="7">
        <v>900</v>
      </c>
      <c r="AD82" s="7">
        <v>900</v>
      </c>
      <c r="AE82" s="7">
        <v>900</v>
      </c>
      <c r="AF82" s="7">
        <v>900</v>
      </c>
      <c r="AG82" s="7">
        <v>900</v>
      </c>
      <c r="AH82" s="7">
        <v>900</v>
      </c>
      <c r="AI82" s="7">
        <v>900</v>
      </c>
      <c r="AJ82" s="7">
        <v>900</v>
      </c>
      <c r="AK82" s="7">
        <v>900</v>
      </c>
      <c r="AL82" s="7">
        <v>900</v>
      </c>
      <c r="AM82" s="7">
        <v>900</v>
      </c>
      <c r="AN82" s="7">
        <v>900</v>
      </c>
      <c r="AO82" s="7">
        <v>900</v>
      </c>
      <c r="AP82" s="7">
        <v>900</v>
      </c>
      <c r="AQ82" s="7">
        <v>900</v>
      </c>
      <c r="AR82" s="7">
        <v>900</v>
      </c>
      <c r="AS82" s="7">
        <v>900</v>
      </c>
      <c r="AT82" s="7">
        <v>900</v>
      </c>
      <c r="AU82" s="7">
        <v>900</v>
      </c>
      <c r="AV82" s="7">
        <v>900</v>
      </c>
      <c r="AW82" s="7">
        <v>900</v>
      </c>
      <c r="AX82" s="7">
        <v>900</v>
      </c>
      <c r="AY82" s="92">
        <v>900</v>
      </c>
      <c r="AZ82" s="92">
        <v>900</v>
      </c>
      <c r="BA82" s="92">
        <v>900</v>
      </c>
      <c r="BB82" s="92">
        <v>900</v>
      </c>
      <c r="BC82" s="92">
        <v>900</v>
      </c>
      <c r="BD82" s="92">
        <v>900</v>
      </c>
      <c r="BE82" s="92">
        <v>900</v>
      </c>
      <c r="BF82" s="92">
        <v>900</v>
      </c>
      <c r="BG82" s="92">
        <v>900</v>
      </c>
      <c r="BH82" s="92">
        <v>900</v>
      </c>
      <c r="BI82" s="92">
        <v>900</v>
      </c>
      <c r="BJ82" s="92">
        <v>900</v>
      </c>
      <c r="BK82" s="92">
        <v>900</v>
      </c>
      <c r="BL82" s="92">
        <v>900</v>
      </c>
      <c r="BM82" s="92">
        <v>900</v>
      </c>
      <c r="BN82" s="92">
        <v>900</v>
      </c>
      <c r="BO82" s="92">
        <v>900</v>
      </c>
      <c r="BP82" s="92">
        <v>900</v>
      </c>
      <c r="BQ82" s="92">
        <v>900</v>
      </c>
      <c r="BR82" s="92">
        <v>900</v>
      </c>
      <c r="BS82" s="92">
        <v>900</v>
      </c>
      <c r="BT82" s="92">
        <v>900</v>
      </c>
      <c r="BU82" s="92">
        <v>900</v>
      </c>
      <c r="BV82" s="92">
        <v>900</v>
      </c>
      <c r="BW82" s="92">
        <v>900</v>
      </c>
      <c r="BX82" s="92">
        <v>900</v>
      </c>
      <c r="BY82" s="92">
        <v>900</v>
      </c>
      <c r="BZ82" s="92">
        <v>900</v>
      </c>
      <c r="CA82" s="92">
        <v>900</v>
      </c>
      <c r="CB82" s="92">
        <v>900</v>
      </c>
      <c r="CC82" s="92">
        <v>900</v>
      </c>
      <c r="CD82" s="92">
        <v>900</v>
      </c>
      <c r="CE82" s="92">
        <v>900</v>
      </c>
      <c r="CF82" s="92">
        <v>900</v>
      </c>
      <c r="CG82" s="92">
        <v>900</v>
      </c>
      <c r="CH82" s="92">
        <v>900</v>
      </c>
      <c r="CI82" s="92">
        <v>900</v>
      </c>
      <c r="CJ82" s="92">
        <v>5000</v>
      </c>
      <c r="CK82" s="92">
        <f>1600+900</f>
        <v>2500</v>
      </c>
      <c r="CL82" s="92">
        <v>1600</v>
      </c>
      <c r="CM82" s="92">
        <v>1600</v>
      </c>
      <c r="CN82" s="92">
        <v>1600</v>
      </c>
      <c r="CO82" s="92">
        <v>1600</v>
      </c>
      <c r="CP82" s="92">
        <v>1600</v>
      </c>
      <c r="CQ82" s="92">
        <v>1600</v>
      </c>
      <c r="CR82" s="92">
        <v>1600</v>
      </c>
      <c r="CS82" s="92">
        <v>1600</v>
      </c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8">
        <v>0</v>
      </c>
      <c r="DE82" s="38"/>
      <c r="DF82" s="111">
        <v>5000</v>
      </c>
      <c r="DH82" s="8">
        <f>+SUM(AY82:DC82)</f>
        <v>53600</v>
      </c>
      <c r="DP82" s="9">
        <v>900</v>
      </c>
      <c r="DT82" s="9">
        <v>1600</v>
      </c>
      <c r="FN82" s="7">
        <v>900</v>
      </c>
    </row>
    <row r="83" spans="1:170" s="9" customFormat="1" ht="13.5" x14ac:dyDescent="0.25">
      <c r="A83" s="16">
        <v>30</v>
      </c>
      <c r="B83" s="7" t="s">
        <v>64</v>
      </c>
      <c r="C83" s="8" t="s">
        <v>35</v>
      </c>
      <c r="D83" s="7">
        <v>30</v>
      </c>
      <c r="E83" s="7">
        <v>790</v>
      </c>
      <c r="F83" s="7">
        <v>790</v>
      </c>
      <c r="G83" s="7">
        <v>790</v>
      </c>
      <c r="H83" s="7">
        <v>790</v>
      </c>
      <c r="I83" s="7">
        <v>790</v>
      </c>
      <c r="J83" s="7">
        <v>790</v>
      </c>
      <c r="K83" s="7">
        <v>790</v>
      </c>
      <c r="L83" s="7">
        <v>790</v>
      </c>
      <c r="M83" s="7">
        <v>790</v>
      </c>
      <c r="N83" s="8">
        <v>790</v>
      </c>
      <c r="O83" s="8">
        <v>790</v>
      </c>
      <c r="P83" s="7">
        <v>790</v>
      </c>
      <c r="Q83" s="7">
        <v>790</v>
      </c>
      <c r="R83" s="7">
        <v>790</v>
      </c>
      <c r="S83" s="7">
        <v>790</v>
      </c>
      <c r="T83" s="7">
        <v>790</v>
      </c>
      <c r="U83" s="7">
        <v>790</v>
      </c>
      <c r="V83" s="7">
        <v>790</v>
      </c>
      <c r="W83" s="82">
        <v>900</v>
      </c>
      <c r="X83" s="7">
        <v>900</v>
      </c>
      <c r="Y83" s="7">
        <v>900</v>
      </c>
      <c r="Z83" s="7">
        <v>900</v>
      </c>
      <c r="AA83" s="7">
        <v>900</v>
      </c>
      <c r="AB83" s="7">
        <v>900</v>
      </c>
      <c r="AC83" s="7">
        <v>900</v>
      </c>
      <c r="AD83" s="7">
        <v>900</v>
      </c>
      <c r="AE83" s="7">
        <v>900</v>
      </c>
      <c r="AF83" s="7">
        <v>900</v>
      </c>
      <c r="AG83" s="7">
        <v>900</v>
      </c>
      <c r="AH83" s="7">
        <v>900</v>
      </c>
      <c r="AI83" s="7">
        <v>900</v>
      </c>
      <c r="AJ83" s="7">
        <v>900</v>
      </c>
      <c r="AK83" s="7">
        <v>900</v>
      </c>
      <c r="AL83" s="7">
        <v>900</v>
      </c>
      <c r="AM83" s="7">
        <v>900</v>
      </c>
      <c r="AN83" s="7">
        <v>900</v>
      </c>
      <c r="AO83" s="7">
        <v>900</v>
      </c>
      <c r="AP83" s="7">
        <v>900</v>
      </c>
      <c r="AQ83" s="7">
        <v>900</v>
      </c>
      <c r="AR83" s="7">
        <v>900</v>
      </c>
      <c r="AS83" s="7">
        <v>900</v>
      </c>
      <c r="AT83" s="7">
        <v>900</v>
      </c>
      <c r="AU83" s="7">
        <v>900</v>
      </c>
      <c r="AV83" s="7">
        <v>900</v>
      </c>
      <c r="AW83" s="7">
        <v>900</v>
      </c>
      <c r="AX83" s="7">
        <v>900</v>
      </c>
      <c r="AY83" s="92">
        <v>900</v>
      </c>
      <c r="AZ83" s="92">
        <v>900</v>
      </c>
      <c r="BA83" s="92">
        <v>900</v>
      </c>
      <c r="BB83" s="92">
        <v>900</v>
      </c>
      <c r="BC83" s="92">
        <v>900</v>
      </c>
      <c r="BD83" s="92">
        <v>900</v>
      </c>
      <c r="BE83" s="92">
        <v>900</v>
      </c>
      <c r="BF83" s="92">
        <v>900</v>
      </c>
      <c r="BG83" s="92">
        <v>900</v>
      </c>
      <c r="BH83" s="92">
        <v>900</v>
      </c>
      <c r="BI83" s="92">
        <v>900</v>
      </c>
      <c r="BJ83" s="92">
        <v>900</v>
      </c>
      <c r="BK83" s="92">
        <v>900</v>
      </c>
      <c r="BL83" s="92">
        <v>900</v>
      </c>
      <c r="BM83" s="92">
        <v>900</v>
      </c>
      <c r="BN83" s="92">
        <v>900</v>
      </c>
      <c r="BO83" s="92">
        <v>900</v>
      </c>
      <c r="BP83" s="92">
        <v>900</v>
      </c>
      <c r="BQ83" s="92">
        <v>900</v>
      </c>
      <c r="BR83" s="92">
        <v>900</v>
      </c>
      <c r="BS83" s="92">
        <v>900</v>
      </c>
      <c r="BT83" s="92">
        <v>900</v>
      </c>
      <c r="BU83" s="92">
        <v>900</v>
      </c>
      <c r="BV83" s="92">
        <v>900</v>
      </c>
      <c r="BW83" s="92">
        <v>900</v>
      </c>
      <c r="BX83" s="92">
        <v>900</v>
      </c>
      <c r="BY83" s="92">
        <v>900</v>
      </c>
      <c r="BZ83" s="92">
        <v>900</v>
      </c>
      <c r="CA83" s="92">
        <v>900</v>
      </c>
      <c r="CB83" s="92">
        <v>900</v>
      </c>
      <c r="CC83" s="92">
        <v>900</v>
      </c>
      <c r="CD83" s="92">
        <v>900</v>
      </c>
      <c r="CE83" s="92">
        <v>900</v>
      </c>
      <c r="CF83" s="92">
        <v>900</v>
      </c>
      <c r="CG83" s="92">
        <v>900</v>
      </c>
      <c r="CH83" s="92">
        <v>900</v>
      </c>
      <c r="CI83" s="92">
        <v>900</v>
      </c>
      <c r="CJ83" s="92">
        <v>5900</v>
      </c>
      <c r="CK83" s="92">
        <v>1600</v>
      </c>
      <c r="CL83" s="92">
        <v>1600</v>
      </c>
      <c r="CM83" s="92">
        <v>1600</v>
      </c>
      <c r="CN83" s="92">
        <v>1600</v>
      </c>
      <c r="CO83" s="92">
        <v>1600</v>
      </c>
      <c r="CP83" s="92">
        <v>1600</v>
      </c>
      <c r="CQ83" s="92">
        <v>1600</v>
      </c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8">
        <f>1600*2</f>
        <v>3200</v>
      </c>
      <c r="DE83" s="38"/>
      <c r="DF83" s="111">
        <v>5000</v>
      </c>
      <c r="DH83" s="8">
        <f>+SUM(AY83:DC83)</f>
        <v>50400</v>
      </c>
      <c r="DP83" s="9">
        <v>900</v>
      </c>
      <c r="DT83" s="9">
        <v>1600</v>
      </c>
      <c r="FN83" s="7">
        <v>900</v>
      </c>
    </row>
    <row r="84" spans="1:170" s="9" customFormat="1" ht="13.5" x14ac:dyDescent="0.25">
      <c r="A84" s="16">
        <v>31</v>
      </c>
      <c r="B84" s="7" t="s">
        <v>64</v>
      </c>
      <c r="C84" s="8" t="s">
        <v>99</v>
      </c>
      <c r="D84" s="7">
        <v>31</v>
      </c>
      <c r="E84" s="7">
        <v>790</v>
      </c>
      <c r="F84" s="7">
        <v>790</v>
      </c>
      <c r="G84" s="7">
        <v>790</v>
      </c>
      <c r="H84" s="7">
        <v>790</v>
      </c>
      <c r="I84" s="7">
        <v>790</v>
      </c>
      <c r="J84" s="7">
        <v>790</v>
      </c>
      <c r="K84" s="7">
        <v>790</v>
      </c>
      <c r="L84" s="7">
        <v>790</v>
      </c>
      <c r="M84" s="7">
        <v>790</v>
      </c>
      <c r="N84" s="7">
        <v>790</v>
      </c>
      <c r="O84" s="7">
        <v>790</v>
      </c>
      <c r="P84" s="7">
        <v>790</v>
      </c>
      <c r="Q84" s="7">
        <v>790</v>
      </c>
      <c r="R84" s="7">
        <v>790</v>
      </c>
      <c r="S84" s="7">
        <v>790</v>
      </c>
      <c r="T84" s="7">
        <v>790</v>
      </c>
      <c r="U84" s="7">
        <v>790</v>
      </c>
      <c r="V84" s="7">
        <v>790</v>
      </c>
      <c r="W84" s="82">
        <v>980</v>
      </c>
      <c r="X84" s="7">
        <v>900</v>
      </c>
      <c r="Y84" s="7">
        <v>900</v>
      </c>
      <c r="Z84" s="7">
        <v>900</v>
      </c>
      <c r="AA84" s="7">
        <v>900</v>
      </c>
      <c r="AB84" s="7">
        <v>900</v>
      </c>
      <c r="AC84" s="7">
        <v>900</v>
      </c>
      <c r="AD84" s="7">
        <v>900</v>
      </c>
      <c r="AE84" s="7">
        <v>900</v>
      </c>
      <c r="AF84" s="7">
        <v>900</v>
      </c>
      <c r="AG84" s="7">
        <v>900</v>
      </c>
      <c r="AH84" s="7">
        <v>900</v>
      </c>
      <c r="AI84" s="7">
        <v>900</v>
      </c>
      <c r="AJ84" s="7">
        <v>900</v>
      </c>
      <c r="AK84" s="7">
        <v>900</v>
      </c>
      <c r="AL84" s="7">
        <v>900</v>
      </c>
      <c r="AM84" s="7">
        <v>900</v>
      </c>
      <c r="AN84" s="7">
        <v>900</v>
      </c>
      <c r="AO84" s="7">
        <v>900</v>
      </c>
      <c r="AP84" s="7">
        <v>900</v>
      </c>
      <c r="AQ84" s="7">
        <v>900</v>
      </c>
      <c r="AR84" s="7">
        <v>900</v>
      </c>
      <c r="AS84" s="7">
        <v>900</v>
      </c>
      <c r="AT84" s="7">
        <v>900</v>
      </c>
      <c r="AU84" s="7">
        <v>900</v>
      </c>
      <c r="AV84" s="7">
        <v>900</v>
      </c>
      <c r="AW84" s="7">
        <v>900</v>
      </c>
      <c r="AX84" s="92">
        <v>900</v>
      </c>
      <c r="AY84" s="92">
        <v>900</v>
      </c>
      <c r="AZ84" s="92">
        <v>900</v>
      </c>
      <c r="BA84" s="92">
        <v>900</v>
      </c>
      <c r="BB84" s="92">
        <v>900</v>
      </c>
      <c r="BC84" s="92">
        <v>980</v>
      </c>
      <c r="BD84" s="92">
        <v>980</v>
      </c>
      <c r="BE84" s="92">
        <v>980</v>
      </c>
      <c r="BF84" s="92">
        <v>980</v>
      </c>
      <c r="BG84" s="92">
        <v>980</v>
      </c>
      <c r="BH84" s="92">
        <v>980</v>
      </c>
      <c r="BI84" s="92">
        <v>980</v>
      </c>
      <c r="BJ84" s="92">
        <v>980</v>
      </c>
      <c r="BK84" s="92">
        <v>980</v>
      </c>
      <c r="BL84" s="92">
        <v>980</v>
      </c>
      <c r="BM84" s="92">
        <v>980</v>
      </c>
      <c r="BN84" s="92">
        <v>980</v>
      </c>
      <c r="BO84" s="92">
        <v>980</v>
      </c>
      <c r="BP84" s="92">
        <v>980</v>
      </c>
      <c r="BQ84" s="92">
        <v>980</v>
      </c>
      <c r="BR84" s="92">
        <v>900</v>
      </c>
      <c r="BS84" s="92">
        <v>980</v>
      </c>
      <c r="BT84" s="92">
        <v>980</v>
      </c>
      <c r="BU84" s="92">
        <v>980</v>
      </c>
      <c r="BV84" s="92">
        <v>980</v>
      </c>
      <c r="BW84" s="92">
        <v>980</v>
      </c>
      <c r="BX84" s="92">
        <v>980</v>
      </c>
      <c r="BY84" s="92">
        <v>980</v>
      </c>
      <c r="BZ84" s="92">
        <v>980</v>
      </c>
      <c r="CA84" s="92">
        <v>980</v>
      </c>
      <c r="CB84" s="92">
        <v>980</v>
      </c>
      <c r="CC84" s="92">
        <v>980</v>
      </c>
      <c r="CD84" s="92">
        <v>980</v>
      </c>
      <c r="CE84" s="92">
        <v>980</v>
      </c>
      <c r="CF84" s="92">
        <v>980</v>
      </c>
      <c r="CG84" s="92">
        <v>980</v>
      </c>
      <c r="CH84" s="92">
        <v>980</v>
      </c>
      <c r="CI84" s="92">
        <v>980</v>
      </c>
      <c r="CJ84" s="92">
        <v>980</v>
      </c>
      <c r="CK84" s="92">
        <v>1760</v>
      </c>
      <c r="CL84" s="92">
        <v>1760</v>
      </c>
      <c r="CM84" s="92">
        <v>1760</v>
      </c>
      <c r="CN84" s="92">
        <v>1760</v>
      </c>
      <c r="CO84" s="92">
        <v>1420</v>
      </c>
      <c r="CP84" s="92">
        <v>1600</v>
      </c>
      <c r="CQ84" s="92">
        <f>1600+660</f>
        <v>2260</v>
      </c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8">
        <f>1760*2</f>
        <v>3520</v>
      </c>
      <c r="DE84" s="17">
        <v>1000</v>
      </c>
      <c r="DF84" s="113"/>
      <c r="DH84" s="8">
        <f>+SUM(AX84:DC84)</f>
        <v>50060</v>
      </c>
      <c r="DP84" s="9">
        <v>980</v>
      </c>
      <c r="DT84" s="9">
        <v>1760</v>
      </c>
      <c r="FN84" s="7">
        <v>900</v>
      </c>
    </row>
    <row r="85" spans="1:170" s="9" customFormat="1" ht="13.5" x14ac:dyDescent="0.25">
      <c r="A85" s="16">
        <v>32</v>
      </c>
      <c r="B85" s="7" t="s">
        <v>64</v>
      </c>
      <c r="C85" s="8" t="s">
        <v>137</v>
      </c>
      <c r="D85" s="7">
        <v>32</v>
      </c>
      <c r="E85" s="7">
        <v>790</v>
      </c>
      <c r="F85" s="7">
        <v>790</v>
      </c>
      <c r="G85" s="7">
        <v>790</v>
      </c>
      <c r="H85" s="7">
        <v>790</v>
      </c>
      <c r="I85" s="7">
        <v>790</v>
      </c>
      <c r="J85" s="7">
        <v>790</v>
      </c>
      <c r="K85" s="7">
        <v>790</v>
      </c>
      <c r="L85" s="7">
        <v>790</v>
      </c>
      <c r="M85" s="7">
        <v>790</v>
      </c>
      <c r="N85" s="7">
        <v>790</v>
      </c>
      <c r="O85" s="7">
        <v>790</v>
      </c>
      <c r="P85" s="7">
        <v>790</v>
      </c>
      <c r="Q85" s="7">
        <v>790</v>
      </c>
      <c r="R85" s="7">
        <v>790</v>
      </c>
      <c r="S85" s="7">
        <v>790</v>
      </c>
      <c r="T85" s="7">
        <v>790</v>
      </c>
      <c r="U85" s="7">
        <v>790</v>
      </c>
      <c r="V85" s="7">
        <v>790</v>
      </c>
      <c r="W85" s="82">
        <v>900</v>
      </c>
      <c r="X85" s="7">
        <v>900</v>
      </c>
      <c r="Y85" s="7">
        <v>900</v>
      </c>
      <c r="Z85" s="7">
        <v>900</v>
      </c>
      <c r="AA85" s="7">
        <v>900</v>
      </c>
      <c r="AB85" s="7">
        <v>900</v>
      </c>
      <c r="AC85" s="7">
        <v>900</v>
      </c>
      <c r="AD85" s="7">
        <v>900</v>
      </c>
      <c r="AE85" s="7">
        <v>900</v>
      </c>
      <c r="AF85" s="7">
        <v>900</v>
      </c>
      <c r="AG85" s="7">
        <v>900</v>
      </c>
      <c r="AH85" s="7">
        <v>900</v>
      </c>
      <c r="AI85" s="7">
        <v>900</v>
      </c>
      <c r="AJ85" s="7">
        <v>900</v>
      </c>
      <c r="AK85" s="7">
        <v>900</v>
      </c>
      <c r="AL85" s="7">
        <v>900</v>
      </c>
      <c r="AM85" s="7">
        <v>900</v>
      </c>
      <c r="AN85" s="7">
        <v>900</v>
      </c>
      <c r="AO85" s="7">
        <v>900</v>
      </c>
      <c r="AP85" s="7">
        <v>900</v>
      </c>
      <c r="AQ85" s="7">
        <v>900</v>
      </c>
      <c r="AR85" s="7">
        <v>900</v>
      </c>
      <c r="AS85" s="7">
        <v>900</v>
      </c>
      <c r="AT85" s="7">
        <v>900</v>
      </c>
      <c r="AU85" s="7">
        <v>900</v>
      </c>
      <c r="AV85" s="7">
        <v>900</v>
      </c>
      <c r="AW85" s="7">
        <v>900</v>
      </c>
      <c r="AX85" s="7">
        <v>900</v>
      </c>
      <c r="AY85" s="7">
        <v>900</v>
      </c>
      <c r="AZ85" s="7">
        <v>900</v>
      </c>
      <c r="BA85" s="92">
        <v>900</v>
      </c>
      <c r="BB85" s="92">
        <v>900</v>
      </c>
      <c r="BC85" s="92">
        <v>900</v>
      </c>
      <c r="BD85" s="92">
        <v>900</v>
      </c>
      <c r="BE85" s="92">
        <v>900</v>
      </c>
      <c r="BF85" s="92">
        <v>900</v>
      </c>
      <c r="BG85" s="92">
        <v>900</v>
      </c>
      <c r="BH85" s="92">
        <v>900</v>
      </c>
      <c r="BI85" s="92">
        <v>900</v>
      </c>
      <c r="BJ85" s="92">
        <v>900</v>
      </c>
      <c r="BK85" s="92">
        <v>900</v>
      </c>
      <c r="BL85" s="92">
        <v>900</v>
      </c>
      <c r="BM85" s="92">
        <v>900</v>
      </c>
      <c r="BN85" s="92">
        <v>900</v>
      </c>
      <c r="BO85" s="92">
        <v>900</v>
      </c>
      <c r="BP85" s="92">
        <v>900</v>
      </c>
      <c r="BQ85" s="92">
        <v>900</v>
      </c>
      <c r="BR85" s="92">
        <v>900</v>
      </c>
      <c r="BS85" s="92">
        <v>900</v>
      </c>
      <c r="BT85" s="92">
        <v>900</v>
      </c>
      <c r="BU85" s="92">
        <v>900</v>
      </c>
      <c r="BV85" s="92">
        <v>900</v>
      </c>
      <c r="BW85" s="92">
        <v>900</v>
      </c>
      <c r="BX85" s="92">
        <v>900</v>
      </c>
      <c r="BY85" s="92">
        <v>900</v>
      </c>
      <c r="BZ85" s="92">
        <v>900</v>
      </c>
      <c r="CA85" s="92">
        <v>900</v>
      </c>
      <c r="CB85" s="92">
        <v>900</v>
      </c>
      <c r="CC85" s="92">
        <v>900</v>
      </c>
      <c r="CD85" s="92">
        <v>900</v>
      </c>
      <c r="CE85" s="92">
        <v>900</v>
      </c>
      <c r="CF85" s="92">
        <v>900</v>
      </c>
      <c r="CG85" s="92">
        <v>900</v>
      </c>
      <c r="CH85" s="92">
        <v>900</v>
      </c>
      <c r="CI85" s="92">
        <v>900</v>
      </c>
      <c r="CJ85" s="92">
        <v>900</v>
      </c>
      <c r="CK85" s="92">
        <v>1600</v>
      </c>
      <c r="CL85" s="92">
        <v>1600</v>
      </c>
      <c r="CM85" s="92">
        <v>1600</v>
      </c>
      <c r="CN85" s="92">
        <v>1600</v>
      </c>
      <c r="CO85" s="92">
        <v>1600</v>
      </c>
      <c r="CP85" s="92">
        <v>1600</v>
      </c>
      <c r="CQ85" s="92">
        <v>1600</v>
      </c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8">
        <f>1600*2</f>
        <v>3200</v>
      </c>
      <c r="DE85" s="17" t="s">
        <v>55</v>
      </c>
      <c r="DF85" s="111">
        <v>5000</v>
      </c>
      <c r="DH85" s="8">
        <f>+SUM(BA85:DC85)</f>
        <v>43600</v>
      </c>
      <c r="DP85" s="9">
        <f t="shared" si="1"/>
        <v>900</v>
      </c>
      <c r="DT85" s="9">
        <v>1600</v>
      </c>
      <c r="FN85" s="7">
        <v>900</v>
      </c>
    </row>
    <row r="86" spans="1:170" s="6" customFormat="1" ht="25.5" x14ac:dyDescent="0.25">
      <c r="A86" s="14" t="s">
        <v>0</v>
      </c>
      <c r="B86" s="3" t="s">
        <v>52</v>
      </c>
      <c r="C86" s="4" t="s">
        <v>1</v>
      </c>
      <c r="D86" s="3" t="s">
        <v>2</v>
      </c>
      <c r="E86" s="3" t="s">
        <v>36</v>
      </c>
      <c r="F86" s="5" t="s">
        <v>37</v>
      </c>
      <c r="G86" s="5" t="s">
        <v>38</v>
      </c>
      <c r="H86" s="5" t="s">
        <v>39</v>
      </c>
      <c r="I86" s="5" t="s">
        <v>40</v>
      </c>
      <c r="J86" s="5" t="s">
        <v>41</v>
      </c>
      <c r="K86" s="5" t="s">
        <v>44</v>
      </c>
      <c r="L86" s="5" t="s">
        <v>42</v>
      </c>
      <c r="M86" s="5" t="s">
        <v>45</v>
      </c>
      <c r="N86" s="5" t="s">
        <v>46</v>
      </c>
      <c r="O86" s="5" t="s">
        <v>50</v>
      </c>
      <c r="P86" s="5" t="s">
        <v>48</v>
      </c>
      <c r="Q86" s="5" t="s">
        <v>36</v>
      </c>
      <c r="R86" s="5" t="s">
        <v>37</v>
      </c>
      <c r="S86" s="5" t="s">
        <v>38</v>
      </c>
      <c r="T86" s="5" t="s">
        <v>39</v>
      </c>
      <c r="U86" s="5" t="s">
        <v>40</v>
      </c>
      <c r="V86" s="5" t="s">
        <v>41</v>
      </c>
      <c r="W86" s="5" t="s">
        <v>44</v>
      </c>
      <c r="X86" s="5" t="s">
        <v>42</v>
      </c>
      <c r="Y86" s="5" t="s">
        <v>45</v>
      </c>
      <c r="Z86" s="5" t="s">
        <v>53</v>
      </c>
      <c r="AA86" s="5" t="s">
        <v>50</v>
      </c>
      <c r="AB86" s="5" t="s">
        <v>48</v>
      </c>
      <c r="AC86" s="5" t="s">
        <v>36</v>
      </c>
      <c r="AD86" s="5" t="s">
        <v>37</v>
      </c>
      <c r="AE86" s="5" t="s">
        <v>38</v>
      </c>
      <c r="AF86" s="5" t="s">
        <v>39</v>
      </c>
      <c r="AG86" s="5" t="s">
        <v>40</v>
      </c>
      <c r="AH86" s="5" t="s">
        <v>41</v>
      </c>
      <c r="AI86" s="5" t="s">
        <v>56</v>
      </c>
      <c r="AJ86" s="5" t="s">
        <v>42</v>
      </c>
      <c r="AK86" s="5" t="s">
        <v>57</v>
      </c>
      <c r="AL86" s="5" t="s">
        <v>53</v>
      </c>
      <c r="AM86" s="5" t="s">
        <v>50</v>
      </c>
      <c r="AN86" s="5" t="s">
        <v>48</v>
      </c>
      <c r="AO86" s="5" t="s">
        <v>36</v>
      </c>
      <c r="AP86" s="5" t="s">
        <v>37</v>
      </c>
      <c r="AQ86" s="5" t="s">
        <v>38</v>
      </c>
      <c r="AR86" s="5" t="s">
        <v>39</v>
      </c>
      <c r="AS86" s="5" t="s">
        <v>40</v>
      </c>
      <c r="AT86" s="5" t="s">
        <v>41</v>
      </c>
      <c r="AU86" s="79" t="s">
        <v>101</v>
      </c>
      <c r="AV86" s="79" t="s">
        <v>102</v>
      </c>
      <c r="AW86" s="79" t="s">
        <v>103</v>
      </c>
      <c r="AX86" s="79" t="s">
        <v>104</v>
      </c>
      <c r="AY86" s="79" t="s">
        <v>105</v>
      </c>
      <c r="AZ86" s="79" t="s">
        <v>106</v>
      </c>
      <c r="BA86" s="79" t="s">
        <v>107</v>
      </c>
      <c r="BB86" s="79" t="s">
        <v>108</v>
      </c>
      <c r="BC86" s="79" t="s">
        <v>38</v>
      </c>
      <c r="BD86" s="5" t="s">
        <v>39</v>
      </c>
      <c r="BE86" s="5" t="s">
        <v>40</v>
      </c>
      <c r="BF86" s="5" t="s">
        <v>41</v>
      </c>
      <c r="BG86" s="5" t="s">
        <v>56</v>
      </c>
      <c r="BH86" s="5" t="s">
        <v>42</v>
      </c>
      <c r="BI86" s="5" t="s">
        <v>57</v>
      </c>
      <c r="BJ86" s="5" t="s">
        <v>53</v>
      </c>
      <c r="BK86" s="5" t="s">
        <v>50</v>
      </c>
      <c r="BL86" s="5" t="s">
        <v>136</v>
      </c>
      <c r="BM86" s="5" t="s">
        <v>36</v>
      </c>
      <c r="BN86" s="5" t="s">
        <v>37</v>
      </c>
      <c r="BO86" s="5" t="s">
        <v>38</v>
      </c>
      <c r="BP86" s="5" t="s">
        <v>39</v>
      </c>
      <c r="BQ86" s="5" t="s">
        <v>40</v>
      </c>
      <c r="BR86" s="5" t="s">
        <v>41</v>
      </c>
      <c r="BS86" s="5" t="s">
        <v>56</v>
      </c>
      <c r="BT86" s="5" t="s">
        <v>42</v>
      </c>
      <c r="BU86" s="5" t="s">
        <v>57</v>
      </c>
      <c r="BV86" s="5" t="s">
        <v>53</v>
      </c>
      <c r="BW86" s="5" t="s">
        <v>50</v>
      </c>
      <c r="BX86" s="5" t="s">
        <v>136</v>
      </c>
      <c r="BY86" s="5" t="s">
        <v>36</v>
      </c>
      <c r="BZ86" s="5" t="s">
        <v>37</v>
      </c>
      <c r="CA86" s="5" t="s">
        <v>38</v>
      </c>
      <c r="CB86" s="5" t="s">
        <v>39</v>
      </c>
      <c r="CC86" s="5" t="s">
        <v>40</v>
      </c>
      <c r="CD86" s="5" t="s">
        <v>41</v>
      </c>
      <c r="CE86" s="5" t="s">
        <v>56</v>
      </c>
      <c r="CF86" s="5" t="s">
        <v>42</v>
      </c>
      <c r="CG86" s="5" t="s">
        <v>57</v>
      </c>
      <c r="CH86" s="5" t="s">
        <v>53</v>
      </c>
      <c r="CI86" s="5" t="s">
        <v>50</v>
      </c>
      <c r="CJ86" s="5" t="s">
        <v>136</v>
      </c>
      <c r="CK86" s="5" t="s">
        <v>36</v>
      </c>
      <c r="CL86" s="5" t="s">
        <v>37</v>
      </c>
      <c r="CM86" s="5" t="s">
        <v>38</v>
      </c>
      <c r="CN86" s="5" t="s">
        <v>39</v>
      </c>
      <c r="CO86" s="5" t="s">
        <v>40</v>
      </c>
      <c r="CP86" s="5" t="s">
        <v>41</v>
      </c>
      <c r="CQ86" s="5" t="s">
        <v>56</v>
      </c>
      <c r="CR86" s="5" t="s">
        <v>42</v>
      </c>
      <c r="CS86" s="5" t="s">
        <v>57</v>
      </c>
      <c r="CT86" s="5" t="s">
        <v>53</v>
      </c>
      <c r="CU86" s="5" t="s">
        <v>50</v>
      </c>
      <c r="CV86" s="5" t="s">
        <v>136</v>
      </c>
      <c r="CW86" s="5" t="s">
        <v>36</v>
      </c>
      <c r="CX86" s="5" t="s">
        <v>37</v>
      </c>
      <c r="CY86" s="5" t="s">
        <v>38</v>
      </c>
      <c r="CZ86" s="5" t="s">
        <v>39</v>
      </c>
      <c r="DA86" s="5" t="s">
        <v>40</v>
      </c>
      <c r="DB86" s="5" t="s">
        <v>41</v>
      </c>
      <c r="DC86" s="5" t="s">
        <v>56</v>
      </c>
      <c r="DD86" s="81"/>
      <c r="DE86" s="19"/>
      <c r="DH86" s="81"/>
      <c r="DP86" s="108">
        <f>SUM(DP8:DP85)</f>
        <v>103157</v>
      </c>
      <c r="DT86" s="108">
        <f>SUM(DT8:DT85)</f>
        <v>117920</v>
      </c>
      <c r="FN86" s="7">
        <f>SUM(FN8:FN85)</f>
        <v>61789</v>
      </c>
    </row>
    <row r="87" spans="1:170" ht="15.75" thickBot="1" x14ac:dyDescent="0.3">
      <c r="A87" s="20"/>
      <c r="B87" s="21"/>
      <c r="C87" s="21"/>
      <c r="D87" s="22" t="s">
        <v>43</v>
      </c>
      <c r="E87" s="23">
        <f>SUM(E8:E85)</f>
        <v>59712</v>
      </c>
      <c r="F87" s="23">
        <f t="shared" ref="F87:AW87" si="2">SUM(F8:F85)</f>
        <v>58118</v>
      </c>
      <c r="G87" s="23">
        <f t="shared" si="2"/>
        <v>58268</v>
      </c>
      <c r="H87" s="23">
        <f t="shared" si="2"/>
        <v>58138</v>
      </c>
      <c r="I87" s="23">
        <f t="shared" si="2"/>
        <v>58138</v>
      </c>
      <c r="J87" s="23">
        <f t="shared" si="2"/>
        <v>58138</v>
      </c>
      <c r="K87" s="23">
        <f t="shared" si="2"/>
        <v>58108</v>
      </c>
      <c r="L87" s="23">
        <f t="shared" si="2"/>
        <v>58038</v>
      </c>
      <c r="M87" s="23">
        <f t="shared" si="2"/>
        <v>58038</v>
      </c>
      <c r="N87" s="23">
        <f t="shared" si="2"/>
        <v>58038</v>
      </c>
      <c r="O87" s="23">
        <f t="shared" si="2"/>
        <v>58038</v>
      </c>
      <c r="P87" s="23">
        <f t="shared" si="2"/>
        <v>58038</v>
      </c>
      <c r="Q87" s="23">
        <f t="shared" si="2"/>
        <v>58152</v>
      </c>
      <c r="R87" s="23">
        <f t="shared" si="2"/>
        <v>58152</v>
      </c>
      <c r="S87" s="23">
        <f t="shared" si="2"/>
        <v>58153</v>
      </c>
      <c r="T87" s="23">
        <f t="shared" si="2"/>
        <v>58143</v>
      </c>
      <c r="U87" s="23">
        <f t="shared" si="2"/>
        <v>58253</v>
      </c>
      <c r="V87" s="23">
        <f t="shared" si="2"/>
        <v>58483</v>
      </c>
      <c r="W87" s="23">
        <f t="shared" si="2"/>
        <v>59689</v>
      </c>
      <c r="X87" s="23">
        <f t="shared" si="2"/>
        <v>59689</v>
      </c>
      <c r="Y87" s="23">
        <f t="shared" si="2"/>
        <v>59794</v>
      </c>
      <c r="Z87" s="23">
        <f t="shared" si="2"/>
        <v>59794</v>
      </c>
      <c r="AA87" s="23">
        <f t="shared" si="2"/>
        <v>59794</v>
      </c>
      <c r="AB87" s="23">
        <f t="shared" si="2"/>
        <v>59794</v>
      </c>
      <c r="AC87" s="23">
        <f t="shared" si="2"/>
        <v>59794</v>
      </c>
      <c r="AD87" s="23">
        <f t="shared" si="2"/>
        <v>59794</v>
      </c>
      <c r="AE87" s="23">
        <f t="shared" si="2"/>
        <v>60144</v>
      </c>
      <c r="AF87" s="23">
        <f t="shared" si="2"/>
        <v>59724</v>
      </c>
      <c r="AG87" s="23">
        <f t="shared" si="2"/>
        <v>59724</v>
      </c>
      <c r="AH87" s="23">
        <f t="shared" si="2"/>
        <v>59724</v>
      </c>
      <c r="AI87" s="23">
        <f t="shared" si="2"/>
        <v>59844</v>
      </c>
      <c r="AJ87" s="23">
        <f t="shared" si="2"/>
        <v>59824</v>
      </c>
      <c r="AK87" s="23">
        <f t="shared" si="2"/>
        <v>59834</v>
      </c>
      <c r="AL87" s="23">
        <f t="shared" si="2"/>
        <v>59734</v>
      </c>
      <c r="AM87" s="23">
        <f t="shared" si="2"/>
        <v>59664</v>
      </c>
      <c r="AN87" s="23">
        <f t="shared" si="2"/>
        <v>59664</v>
      </c>
      <c r="AO87" s="23">
        <f t="shared" si="2"/>
        <v>59664</v>
      </c>
      <c r="AP87" s="23">
        <f t="shared" si="2"/>
        <v>59834</v>
      </c>
      <c r="AQ87" s="23">
        <f t="shared" si="2"/>
        <v>59834</v>
      </c>
      <c r="AR87" s="23">
        <f t="shared" si="2"/>
        <v>59999</v>
      </c>
      <c r="AS87" s="23">
        <f t="shared" si="2"/>
        <v>59969</v>
      </c>
      <c r="AT87" s="23">
        <f t="shared" si="2"/>
        <v>59969</v>
      </c>
      <c r="AU87" s="23">
        <f t="shared" si="2"/>
        <v>59969</v>
      </c>
      <c r="AV87" s="23">
        <f t="shared" si="2"/>
        <v>59969</v>
      </c>
      <c r="AW87" s="23">
        <f t="shared" si="2"/>
        <v>59969</v>
      </c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83">
        <f>SUM(DD8:DD86)</f>
        <v>410405</v>
      </c>
      <c r="DE87" s="24"/>
      <c r="DH87" s="83">
        <f>SUM(DH8:DH86)</f>
        <v>3513989</v>
      </c>
    </row>
    <row r="88" spans="1:170" x14ac:dyDescent="0.25">
      <c r="N88" s="10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E88" s="13"/>
      <c r="FM88" s="2" t="s">
        <v>140</v>
      </c>
      <c r="FN88" s="1">
        <v>32000</v>
      </c>
    </row>
    <row r="89" spans="1:170" x14ac:dyDescent="0.25">
      <c r="FM89" s="2" t="s">
        <v>141</v>
      </c>
      <c r="FN89" s="1">
        <v>18000</v>
      </c>
    </row>
    <row r="90" spans="1:170" x14ac:dyDescent="0.25">
      <c r="FM90" s="2" t="s">
        <v>142</v>
      </c>
      <c r="FN90" s="1">
        <v>8000</v>
      </c>
    </row>
    <row r="91" spans="1:170" x14ac:dyDescent="0.25">
      <c r="FM91" s="2" t="s">
        <v>143</v>
      </c>
      <c r="FN91" s="1">
        <v>40000</v>
      </c>
    </row>
    <row r="92" spans="1:170" x14ac:dyDescent="0.25">
      <c r="FN92" s="1">
        <f>SUM(FN88:FN91)</f>
        <v>98000</v>
      </c>
    </row>
    <row r="93" spans="1:170" x14ac:dyDescent="0.25">
      <c r="B93" s="112"/>
    </row>
    <row r="97" spans="86:86" x14ac:dyDescent="0.25">
      <c r="CH97" s="114"/>
    </row>
  </sheetData>
  <mergeCells count="5">
    <mergeCell ref="DK8:DN8"/>
    <mergeCell ref="DK9:DN9"/>
    <mergeCell ref="DK10:DN10"/>
    <mergeCell ref="DK11:DN11"/>
    <mergeCell ref="FN5:FN6"/>
  </mergeCells>
  <phoneticPr fontId="25" type="noConversion"/>
  <pageMargins left="0.23622047244094499" right="0.23622047244094499" top="0.74803149606299202" bottom="0.74803149606299202" header="0.31496062992126" footer="0.31496062992126"/>
  <pageSetup paperSize="8" scale="38" orientation="landscape" r:id="rId1"/>
  <ignoredErrors>
    <ignoredError sqref="DD8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topLeftCell="A34" workbookViewId="0">
      <selection activeCell="C53" sqref="C53"/>
    </sheetView>
  </sheetViews>
  <sheetFormatPr defaultColWidth="9.140625" defaultRowHeight="13.5" x14ac:dyDescent="0.25"/>
  <cols>
    <col min="1" max="1" width="8.85546875" style="47" bestFit="1" customWidth="1"/>
    <col min="2" max="2" width="8.42578125" style="47" bestFit="1" customWidth="1"/>
    <col min="3" max="3" width="35" style="41" bestFit="1" customWidth="1"/>
    <col min="4" max="4" width="25.140625" style="47" bestFit="1" customWidth="1"/>
    <col min="5" max="5" width="15" style="47" bestFit="1" customWidth="1"/>
    <col min="6" max="6" width="17.42578125" style="41" customWidth="1"/>
    <col min="7" max="7" width="15.28515625" style="47" customWidth="1"/>
    <col min="8" max="16384" width="9.140625" style="41"/>
  </cols>
  <sheetData>
    <row r="1" spans="1:8" ht="14.25" thickBot="1" x14ac:dyDescent="0.3">
      <c r="A1" s="61" t="s">
        <v>90</v>
      </c>
      <c r="B1" s="62" t="s">
        <v>2</v>
      </c>
      <c r="C1" s="63" t="s">
        <v>1</v>
      </c>
      <c r="D1" s="66" t="s">
        <v>92</v>
      </c>
      <c r="E1" s="62" t="s">
        <v>87</v>
      </c>
      <c r="F1" s="64" t="s">
        <v>91</v>
      </c>
      <c r="G1" s="71" t="s">
        <v>92</v>
      </c>
      <c r="H1" s="69"/>
    </row>
    <row r="2" spans="1:8" x14ac:dyDescent="0.25">
      <c r="A2" s="58" t="s">
        <v>73</v>
      </c>
      <c r="B2" s="49">
        <v>1</v>
      </c>
      <c r="C2" s="76" t="s">
        <v>94</v>
      </c>
      <c r="D2" s="70">
        <v>8888121992</v>
      </c>
      <c r="E2" s="49" t="s">
        <v>88</v>
      </c>
      <c r="F2" s="51"/>
      <c r="G2" s="72"/>
    </row>
    <row r="3" spans="1:8" x14ac:dyDescent="0.25">
      <c r="A3" s="59" t="s">
        <v>73</v>
      </c>
      <c r="B3" s="43">
        <v>2</v>
      </c>
      <c r="C3" s="45" t="s">
        <v>3</v>
      </c>
      <c r="D3" s="42">
        <v>9850024212</v>
      </c>
      <c r="E3" s="43" t="s">
        <v>88</v>
      </c>
      <c r="F3" s="44"/>
      <c r="G3" s="73"/>
    </row>
    <row r="4" spans="1:8" x14ac:dyDescent="0.25">
      <c r="A4" s="59" t="s">
        <v>73</v>
      </c>
      <c r="B4" s="43">
        <v>3</v>
      </c>
      <c r="C4" s="45" t="s">
        <v>155</v>
      </c>
      <c r="D4" s="91"/>
      <c r="E4" s="43" t="s">
        <v>88</v>
      </c>
      <c r="F4" s="44"/>
      <c r="G4" s="73"/>
    </row>
    <row r="5" spans="1:8" x14ac:dyDescent="0.25">
      <c r="A5" s="59" t="s">
        <v>73</v>
      </c>
      <c r="B5" s="43">
        <v>4</v>
      </c>
      <c r="C5" s="45" t="s">
        <v>4</v>
      </c>
      <c r="D5" s="42">
        <v>9881621090</v>
      </c>
      <c r="E5" s="43" t="s">
        <v>88</v>
      </c>
      <c r="F5" s="44"/>
      <c r="G5" s="73"/>
    </row>
    <row r="6" spans="1:8" x14ac:dyDescent="0.25">
      <c r="A6" s="59" t="s">
        <v>73</v>
      </c>
      <c r="B6" s="43">
        <v>5</v>
      </c>
      <c r="C6" s="45" t="s">
        <v>58</v>
      </c>
      <c r="D6" s="65">
        <v>7709051082</v>
      </c>
      <c r="E6" s="43" t="s">
        <v>88</v>
      </c>
      <c r="F6" s="44"/>
      <c r="G6" s="73"/>
    </row>
    <row r="7" spans="1:8" x14ac:dyDescent="0.25">
      <c r="A7" s="59" t="s">
        <v>73</v>
      </c>
      <c r="B7" s="43">
        <v>6</v>
      </c>
      <c r="C7" s="45" t="s">
        <v>74</v>
      </c>
      <c r="D7" s="42">
        <v>9970445610</v>
      </c>
      <c r="E7" s="46" t="s">
        <v>89</v>
      </c>
      <c r="F7" s="44"/>
      <c r="G7" s="73"/>
    </row>
    <row r="8" spans="1:8" x14ac:dyDescent="0.25">
      <c r="A8" s="59" t="s">
        <v>75</v>
      </c>
      <c r="B8" s="43">
        <v>7</v>
      </c>
      <c r="C8" s="45" t="s">
        <v>156</v>
      </c>
      <c r="D8" s="42">
        <v>9890228186</v>
      </c>
      <c r="E8" s="43" t="s">
        <v>88</v>
      </c>
      <c r="F8" s="44"/>
      <c r="G8" s="73"/>
    </row>
    <row r="9" spans="1:8" x14ac:dyDescent="0.25">
      <c r="A9" s="59" t="s">
        <v>75</v>
      </c>
      <c r="B9" s="43">
        <v>8</v>
      </c>
      <c r="C9" s="45" t="s">
        <v>125</v>
      </c>
      <c r="D9" s="42">
        <v>9890181212</v>
      </c>
      <c r="E9" s="43" t="s">
        <v>88</v>
      </c>
      <c r="F9" s="44"/>
      <c r="G9" s="73"/>
    </row>
    <row r="10" spans="1:8" x14ac:dyDescent="0.25">
      <c r="A10" s="59" t="s">
        <v>75</v>
      </c>
      <c r="B10" s="43">
        <v>9</v>
      </c>
      <c r="C10" s="45" t="s">
        <v>59</v>
      </c>
      <c r="D10" s="90">
        <v>9325686301</v>
      </c>
      <c r="E10" s="46" t="s">
        <v>89</v>
      </c>
      <c r="F10" s="44"/>
      <c r="G10" s="73"/>
    </row>
    <row r="11" spans="1:8" x14ac:dyDescent="0.25">
      <c r="A11" s="59" t="s">
        <v>75</v>
      </c>
      <c r="B11" s="43">
        <v>10</v>
      </c>
      <c r="C11" s="45" t="s">
        <v>5</v>
      </c>
      <c r="D11" s="42">
        <v>9075004582</v>
      </c>
      <c r="E11" s="46" t="s">
        <v>89</v>
      </c>
      <c r="F11" s="44"/>
      <c r="G11" s="73"/>
    </row>
    <row r="12" spans="1:8" x14ac:dyDescent="0.25">
      <c r="A12" s="59" t="s">
        <v>75</v>
      </c>
      <c r="B12" s="43">
        <v>11</v>
      </c>
      <c r="C12" s="45" t="s">
        <v>6</v>
      </c>
      <c r="D12" s="42">
        <v>9423022301</v>
      </c>
      <c r="E12" s="43" t="s">
        <v>88</v>
      </c>
      <c r="F12" s="44"/>
      <c r="G12" s="73"/>
    </row>
    <row r="13" spans="1:8" x14ac:dyDescent="0.25">
      <c r="A13" s="59" t="s">
        <v>75</v>
      </c>
      <c r="B13" s="43">
        <v>12</v>
      </c>
      <c r="C13" s="45" t="s">
        <v>7</v>
      </c>
      <c r="D13" s="42">
        <v>9822480269</v>
      </c>
      <c r="E13" s="43" t="s">
        <v>88</v>
      </c>
      <c r="F13" s="44"/>
      <c r="G13" s="73"/>
    </row>
    <row r="14" spans="1:8" x14ac:dyDescent="0.25">
      <c r="A14" s="59" t="s">
        <v>75</v>
      </c>
      <c r="B14" s="43">
        <v>13</v>
      </c>
      <c r="C14" s="45" t="s">
        <v>8</v>
      </c>
      <c r="D14" s="42">
        <v>7755909025</v>
      </c>
      <c r="E14" s="43" t="s">
        <v>88</v>
      </c>
      <c r="F14" s="44"/>
      <c r="G14" s="73"/>
    </row>
    <row r="15" spans="1:8" x14ac:dyDescent="0.25">
      <c r="A15" s="59" t="s">
        <v>75</v>
      </c>
      <c r="B15" s="43">
        <v>14</v>
      </c>
      <c r="C15" s="45" t="s">
        <v>77</v>
      </c>
      <c r="D15" s="42">
        <v>8788089016</v>
      </c>
      <c r="E15" s="46" t="s">
        <v>89</v>
      </c>
      <c r="F15" s="44" t="s">
        <v>93</v>
      </c>
      <c r="G15" s="73"/>
    </row>
    <row r="16" spans="1:8" x14ac:dyDescent="0.25">
      <c r="A16" s="59" t="s">
        <v>75</v>
      </c>
      <c r="B16" s="43">
        <v>15</v>
      </c>
      <c r="C16" s="45" t="s">
        <v>95</v>
      </c>
      <c r="D16" s="42">
        <v>9766909823</v>
      </c>
      <c r="E16" s="43" t="s">
        <v>88</v>
      </c>
      <c r="F16" s="44"/>
      <c r="G16" s="73"/>
    </row>
    <row r="17" spans="1:7" x14ac:dyDescent="0.25">
      <c r="A17" s="59" t="s">
        <v>75</v>
      </c>
      <c r="B17" s="43">
        <v>16</v>
      </c>
      <c r="C17" s="45" t="s">
        <v>78</v>
      </c>
      <c r="D17" s="42">
        <v>9158600777</v>
      </c>
      <c r="E17" s="43" t="s">
        <v>88</v>
      </c>
      <c r="F17" s="44"/>
      <c r="G17" s="73"/>
    </row>
    <row r="18" spans="1:7" x14ac:dyDescent="0.25">
      <c r="A18" s="59" t="s">
        <v>75</v>
      </c>
      <c r="B18" s="43">
        <v>17</v>
      </c>
      <c r="C18" s="45" t="s">
        <v>79</v>
      </c>
      <c r="D18" s="42">
        <v>9323281348</v>
      </c>
      <c r="E18" s="46" t="s">
        <v>89</v>
      </c>
      <c r="F18" s="44"/>
      <c r="G18" s="73"/>
    </row>
    <row r="19" spans="1:7" ht="14.25" thickBot="1" x14ac:dyDescent="0.3">
      <c r="A19" s="60" t="s">
        <v>75</v>
      </c>
      <c r="B19" s="54">
        <v>18</v>
      </c>
      <c r="C19" s="75" t="s">
        <v>80</v>
      </c>
      <c r="D19" s="68">
        <v>9822634758</v>
      </c>
      <c r="E19" s="54" t="s">
        <v>88</v>
      </c>
      <c r="F19" s="56"/>
      <c r="G19" s="74"/>
    </row>
    <row r="20" spans="1:7" x14ac:dyDescent="0.25">
      <c r="A20" s="48" t="s">
        <v>81</v>
      </c>
      <c r="B20" s="49">
        <v>1</v>
      </c>
      <c r="C20" s="50" t="s">
        <v>157</v>
      </c>
      <c r="D20" s="42">
        <v>7304222288</v>
      </c>
      <c r="E20" s="43" t="s">
        <v>88</v>
      </c>
      <c r="F20" s="51"/>
      <c r="G20" s="72"/>
    </row>
    <row r="21" spans="1:7" x14ac:dyDescent="0.25">
      <c r="A21" s="52" t="s">
        <v>81</v>
      </c>
      <c r="B21" s="43">
        <v>2</v>
      </c>
      <c r="C21" s="45" t="s">
        <v>82</v>
      </c>
      <c r="D21" s="42">
        <v>9822301015</v>
      </c>
      <c r="E21" s="46" t="s">
        <v>89</v>
      </c>
      <c r="F21" s="44"/>
      <c r="G21" s="73"/>
    </row>
    <row r="22" spans="1:7" x14ac:dyDescent="0.25">
      <c r="A22" s="52" t="s">
        <v>81</v>
      </c>
      <c r="B22" s="43">
        <v>3</v>
      </c>
      <c r="C22" s="45" t="s">
        <v>83</v>
      </c>
      <c r="D22" s="42">
        <v>9763036972</v>
      </c>
      <c r="E22" s="43" t="s">
        <v>88</v>
      </c>
      <c r="F22" s="44"/>
      <c r="G22" s="73"/>
    </row>
    <row r="23" spans="1:7" x14ac:dyDescent="0.25">
      <c r="A23" s="52" t="s">
        <v>81</v>
      </c>
      <c r="B23" s="43">
        <v>4</v>
      </c>
      <c r="C23" s="45" t="s">
        <v>97</v>
      </c>
      <c r="D23" s="42">
        <v>9611221963</v>
      </c>
      <c r="E23" s="43" t="s">
        <v>88</v>
      </c>
      <c r="F23" s="44"/>
      <c r="G23" s="73"/>
    </row>
    <row r="24" spans="1:7" x14ac:dyDescent="0.25">
      <c r="A24" s="52" t="s">
        <v>81</v>
      </c>
      <c r="B24" s="43">
        <v>5</v>
      </c>
      <c r="C24" s="45" t="s">
        <v>147</v>
      </c>
      <c r="D24" s="42">
        <v>7709319594</v>
      </c>
      <c r="E24" s="46" t="s">
        <v>89</v>
      </c>
      <c r="F24" s="44"/>
      <c r="G24" s="73"/>
    </row>
    <row r="25" spans="1:7" x14ac:dyDescent="0.25">
      <c r="A25" s="52" t="s">
        <v>81</v>
      </c>
      <c r="B25" s="43">
        <v>6</v>
      </c>
      <c r="C25" s="45" t="s">
        <v>158</v>
      </c>
      <c r="D25" s="42">
        <v>9850692901</v>
      </c>
      <c r="E25" s="43" t="s">
        <v>88</v>
      </c>
      <c r="F25" s="44"/>
      <c r="G25" s="73"/>
    </row>
    <row r="26" spans="1:7" x14ac:dyDescent="0.25">
      <c r="A26" s="52" t="s">
        <v>81</v>
      </c>
      <c r="B26" s="43">
        <v>7</v>
      </c>
      <c r="C26" s="45" t="s">
        <v>9</v>
      </c>
      <c r="D26" s="42">
        <v>8308078010</v>
      </c>
      <c r="E26" s="43" t="s">
        <v>88</v>
      </c>
      <c r="F26" s="44"/>
      <c r="G26" s="73"/>
    </row>
    <row r="27" spans="1:7" x14ac:dyDescent="0.25">
      <c r="A27" s="52" t="s">
        <v>81</v>
      </c>
      <c r="B27" s="43">
        <v>8</v>
      </c>
      <c r="C27" s="45" t="s">
        <v>150</v>
      </c>
      <c r="D27" s="42">
        <v>9881166384</v>
      </c>
      <c r="E27" s="43" t="s">
        <v>88</v>
      </c>
      <c r="F27" s="44"/>
      <c r="G27" s="73"/>
    </row>
    <row r="28" spans="1:7" x14ac:dyDescent="0.25">
      <c r="A28" s="52" t="s">
        <v>81</v>
      </c>
      <c r="B28" s="43">
        <v>9</v>
      </c>
      <c r="C28" s="45" t="s">
        <v>159</v>
      </c>
      <c r="D28" s="42">
        <v>9987021414</v>
      </c>
      <c r="E28" s="46" t="s">
        <v>89</v>
      </c>
      <c r="F28" s="44"/>
      <c r="G28" s="73"/>
    </row>
    <row r="29" spans="1:7" x14ac:dyDescent="0.25">
      <c r="A29" s="52" t="s">
        <v>81</v>
      </c>
      <c r="B29" s="43">
        <v>10</v>
      </c>
      <c r="C29" s="45" t="s">
        <v>126</v>
      </c>
      <c r="D29" s="42">
        <v>9673209900</v>
      </c>
      <c r="E29" s="46" t="s">
        <v>89</v>
      </c>
      <c r="F29" s="44"/>
      <c r="G29" s="73"/>
    </row>
    <row r="30" spans="1:7" x14ac:dyDescent="0.25">
      <c r="A30" s="52" t="s">
        <v>81</v>
      </c>
      <c r="B30" s="43">
        <v>11</v>
      </c>
      <c r="C30" s="45" t="s">
        <v>85</v>
      </c>
      <c r="D30" s="42">
        <v>9096083236</v>
      </c>
      <c r="E30" s="43" t="s">
        <v>88</v>
      </c>
      <c r="F30" s="44"/>
      <c r="G30" s="73"/>
    </row>
    <row r="31" spans="1:7" ht="14.25" thickBot="1" x14ac:dyDescent="0.3">
      <c r="A31" s="53" t="s">
        <v>81</v>
      </c>
      <c r="B31" s="54">
        <v>12</v>
      </c>
      <c r="C31" s="55" t="s">
        <v>10</v>
      </c>
      <c r="D31" s="68">
        <v>9763970820</v>
      </c>
      <c r="E31" s="54" t="s">
        <v>88</v>
      </c>
      <c r="F31" s="56"/>
      <c r="G31" s="74"/>
    </row>
    <row r="32" spans="1:7" x14ac:dyDescent="0.25">
      <c r="A32" s="48" t="s">
        <v>11</v>
      </c>
      <c r="B32" s="49">
        <v>1</v>
      </c>
      <c r="C32" s="50" t="s">
        <v>86</v>
      </c>
      <c r="D32" s="67">
        <v>9922088909</v>
      </c>
      <c r="E32" s="57" t="s">
        <v>89</v>
      </c>
      <c r="F32" s="51"/>
      <c r="G32" s="72"/>
    </row>
    <row r="33" spans="1:7" x14ac:dyDescent="0.25">
      <c r="A33" s="52" t="s">
        <v>11</v>
      </c>
      <c r="B33" s="43">
        <v>2</v>
      </c>
      <c r="C33" s="45" t="s">
        <v>153</v>
      </c>
      <c r="D33" s="42">
        <v>8605017005</v>
      </c>
      <c r="E33" s="43" t="s">
        <v>88</v>
      </c>
      <c r="F33" s="44"/>
      <c r="G33" s="73"/>
    </row>
    <row r="34" spans="1:7" ht="14.25" thickBot="1" x14ac:dyDescent="0.3">
      <c r="A34" s="52" t="s">
        <v>11</v>
      </c>
      <c r="B34" s="43">
        <v>3</v>
      </c>
      <c r="C34" s="45" t="s">
        <v>154</v>
      </c>
      <c r="D34" s="42">
        <v>8975316763</v>
      </c>
      <c r="E34" s="43" t="s">
        <v>88</v>
      </c>
      <c r="F34" s="44"/>
      <c r="G34" s="73"/>
    </row>
    <row r="35" spans="1:7" x14ac:dyDescent="0.25">
      <c r="A35" s="52" t="s">
        <v>11</v>
      </c>
      <c r="B35" s="43">
        <v>4</v>
      </c>
      <c r="C35" s="50" t="s">
        <v>160</v>
      </c>
      <c r="D35" s="42">
        <v>9922451595</v>
      </c>
      <c r="E35" s="43" t="s">
        <v>88</v>
      </c>
      <c r="F35" s="44"/>
      <c r="G35" s="73"/>
    </row>
    <row r="36" spans="1:7" x14ac:dyDescent="0.25">
      <c r="A36" s="52" t="s">
        <v>11</v>
      </c>
      <c r="B36" s="43">
        <v>5</v>
      </c>
      <c r="C36" s="45" t="s">
        <v>12</v>
      </c>
      <c r="D36" s="42">
        <v>7588071069</v>
      </c>
      <c r="E36" s="46" t="s">
        <v>89</v>
      </c>
      <c r="F36" s="44"/>
      <c r="G36" s="73"/>
    </row>
    <row r="37" spans="1:7" x14ac:dyDescent="0.25">
      <c r="A37" s="52" t="s">
        <v>11</v>
      </c>
      <c r="B37" s="43">
        <v>6</v>
      </c>
      <c r="C37" s="45" t="s">
        <v>13</v>
      </c>
      <c r="D37" s="42">
        <v>9881011859</v>
      </c>
      <c r="E37" s="43" t="s">
        <v>88</v>
      </c>
      <c r="F37" s="44"/>
      <c r="G37" s="73"/>
    </row>
    <row r="38" spans="1:7" x14ac:dyDescent="0.25">
      <c r="A38" s="52" t="s">
        <v>11</v>
      </c>
      <c r="B38" s="43">
        <v>7</v>
      </c>
      <c r="C38" s="45" t="s">
        <v>14</v>
      </c>
      <c r="D38" s="42">
        <v>9730491778</v>
      </c>
      <c r="E38" s="43" t="s">
        <v>88</v>
      </c>
      <c r="F38" s="44"/>
      <c r="G38" s="73"/>
    </row>
    <row r="39" spans="1:7" x14ac:dyDescent="0.25">
      <c r="A39" s="52" t="s">
        <v>11</v>
      </c>
      <c r="B39" s="43">
        <v>8</v>
      </c>
      <c r="C39" s="45" t="s">
        <v>15</v>
      </c>
      <c r="D39" s="42">
        <v>9765800243</v>
      </c>
      <c r="E39" s="43" t="s">
        <v>88</v>
      </c>
      <c r="F39" s="44"/>
      <c r="G39" s="73"/>
    </row>
    <row r="40" spans="1:7" x14ac:dyDescent="0.25">
      <c r="A40" s="52" t="s">
        <v>11</v>
      </c>
      <c r="B40" s="43">
        <v>9</v>
      </c>
      <c r="C40" s="45" t="s">
        <v>16</v>
      </c>
      <c r="D40" s="42">
        <v>9923105391</v>
      </c>
      <c r="E40" s="43" t="s">
        <v>88</v>
      </c>
      <c r="F40" s="44"/>
      <c r="G40" s="73"/>
    </row>
    <row r="41" spans="1:7" x14ac:dyDescent="0.25">
      <c r="A41" s="52" t="s">
        <v>11</v>
      </c>
      <c r="B41" s="43">
        <v>10</v>
      </c>
      <c r="C41" s="45" t="s">
        <v>17</v>
      </c>
      <c r="D41" s="42" t="s">
        <v>98</v>
      </c>
      <c r="E41" s="46" t="s">
        <v>89</v>
      </c>
      <c r="F41" s="44"/>
      <c r="G41" s="73"/>
    </row>
    <row r="42" spans="1:7" x14ac:dyDescent="0.25">
      <c r="A42" s="52" t="s">
        <v>11</v>
      </c>
      <c r="B42" s="43">
        <v>11</v>
      </c>
      <c r="C42" s="45" t="s">
        <v>18</v>
      </c>
      <c r="D42" s="42">
        <v>7769946725</v>
      </c>
      <c r="E42" s="43" t="s">
        <v>88</v>
      </c>
      <c r="F42" s="44"/>
      <c r="G42" s="73"/>
    </row>
    <row r="43" spans="1:7" ht="14.25" thickBot="1" x14ac:dyDescent="0.3">
      <c r="A43" s="53" t="s">
        <v>11</v>
      </c>
      <c r="B43" s="54">
        <v>12</v>
      </c>
      <c r="C43" s="55" t="s">
        <v>19</v>
      </c>
      <c r="D43" s="68">
        <v>9637791662</v>
      </c>
      <c r="E43" s="54" t="s">
        <v>88</v>
      </c>
      <c r="F43" s="56"/>
      <c r="G43" s="74"/>
    </row>
    <row r="44" spans="1:7" x14ac:dyDescent="0.25">
      <c r="A44" s="48" t="s">
        <v>63</v>
      </c>
      <c r="B44" s="49">
        <v>1</v>
      </c>
      <c r="C44" s="50" t="s">
        <v>20</v>
      </c>
      <c r="D44" s="67" t="s">
        <v>96</v>
      </c>
      <c r="E44" s="46" t="s">
        <v>89</v>
      </c>
      <c r="F44" s="51"/>
      <c r="G44" s="72"/>
    </row>
    <row r="45" spans="1:7" x14ac:dyDescent="0.25">
      <c r="A45" s="52" t="s">
        <v>63</v>
      </c>
      <c r="B45" s="43">
        <v>2</v>
      </c>
      <c r="C45" s="45" t="s">
        <v>65</v>
      </c>
      <c r="D45" s="42">
        <v>9822714555</v>
      </c>
      <c r="E45" s="46" t="s">
        <v>89</v>
      </c>
      <c r="F45" s="44"/>
      <c r="G45" s="73"/>
    </row>
    <row r="46" spans="1:7" x14ac:dyDescent="0.25">
      <c r="A46" s="52" t="s">
        <v>63</v>
      </c>
      <c r="B46" s="43">
        <v>3</v>
      </c>
      <c r="C46" s="45" t="s">
        <v>66</v>
      </c>
      <c r="D46" s="42">
        <v>8888854102</v>
      </c>
      <c r="E46" s="43" t="s">
        <v>88</v>
      </c>
      <c r="F46" s="44"/>
      <c r="G46" s="73"/>
    </row>
    <row r="47" spans="1:7" x14ac:dyDescent="0.25">
      <c r="A47" s="52" t="s">
        <v>63</v>
      </c>
      <c r="B47" s="43">
        <v>4</v>
      </c>
      <c r="C47" s="45" t="s">
        <v>67</v>
      </c>
      <c r="D47" s="42">
        <v>9423008782</v>
      </c>
      <c r="E47" s="46" t="s">
        <v>89</v>
      </c>
      <c r="F47" s="44"/>
      <c r="G47" s="73"/>
    </row>
    <row r="48" spans="1:7" x14ac:dyDescent="0.25">
      <c r="A48" s="52" t="s">
        <v>63</v>
      </c>
      <c r="B48" s="43">
        <v>5</v>
      </c>
      <c r="C48" s="45" t="s">
        <v>21</v>
      </c>
      <c r="D48" s="42">
        <v>9970923053</v>
      </c>
      <c r="E48" s="46" t="s">
        <v>89</v>
      </c>
      <c r="F48" s="44"/>
      <c r="G48" s="73"/>
    </row>
    <row r="49" spans="1:7" x14ac:dyDescent="0.25">
      <c r="A49" s="52" t="s">
        <v>63</v>
      </c>
      <c r="B49" s="43">
        <v>6</v>
      </c>
      <c r="C49" s="45" t="s">
        <v>22</v>
      </c>
      <c r="D49" s="42">
        <v>9967990630</v>
      </c>
      <c r="E49" s="43" t="s">
        <v>88</v>
      </c>
      <c r="F49" s="44"/>
      <c r="G49" s="73"/>
    </row>
    <row r="50" spans="1:7" x14ac:dyDescent="0.25">
      <c r="A50" s="52" t="s">
        <v>63</v>
      </c>
      <c r="B50" s="43">
        <v>7</v>
      </c>
      <c r="C50" s="45" t="s">
        <v>68</v>
      </c>
      <c r="D50" s="42">
        <v>9860405838</v>
      </c>
      <c r="E50" s="43" t="s">
        <v>88</v>
      </c>
      <c r="F50" s="44"/>
      <c r="G50" s="73"/>
    </row>
    <row r="51" spans="1:7" x14ac:dyDescent="0.25">
      <c r="A51" s="52" t="s">
        <v>63</v>
      </c>
      <c r="B51" s="43">
        <v>8</v>
      </c>
      <c r="C51" s="45" t="s">
        <v>69</v>
      </c>
      <c r="D51" s="42">
        <v>9975498938</v>
      </c>
      <c r="E51" s="46" t="s">
        <v>89</v>
      </c>
      <c r="F51" s="44"/>
      <c r="G51" s="73"/>
    </row>
    <row r="52" spans="1:7" x14ac:dyDescent="0.25">
      <c r="A52" s="52" t="s">
        <v>63</v>
      </c>
      <c r="B52" s="43">
        <v>9</v>
      </c>
      <c r="C52" s="45" t="s">
        <v>127</v>
      </c>
      <c r="D52" s="42">
        <v>9890819079</v>
      </c>
      <c r="E52" s="46" t="s">
        <v>89</v>
      </c>
      <c r="F52" s="44"/>
      <c r="G52" s="73"/>
    </row>
    <row r="53" spans="1:7" x14ac:dyDescent="0.25">
      <c r="A53" s="52" t="s">
        <v>63</v>
      </c>
      <c r="B53" s="43">
        <v>10</v>
      </c>
      <c r="C53" s="45" t="s">
        <v>161</v>
      </c>
      <c r="D53" s="42">
        <v>8149639063</v>
      </c>
      <c r="E53" s="43" t="s">
        <v>88</v>
      </c>
      <c r="F53" s="44"/>
      <c r="G53" s="73"/>
    </row>
    <row r="54" spans="1:7" x14ac:dyDescent="0.25">
      <c r="A54" s="52" t="s">
        <v>63</v>
      </c>
      <c r="B54" s="43">
        <v>11</v>
      </c>
      <c r="C54" s="45" t="s">
        <v>152</v>
      </c>
      <c r="D54" s="42">
        <v>9067371425</v>
      </c>
      <c r="E54" s="43" t="s">
        <v>88</v>
      </c>
      <c r="F54" s="44"/>
      <c r="G54" s="73"/>
    </row>
    <row r="55" spans="1:7" x14ac:dyDescent="0.25">
      <c r="A55" s="52" t="s">
        <v>63</v>
      </c>
      <c r="B55" s="43">
        <v>12</v>
      </c>
      <c r="C55" s="45" t="s">
        <v>23</v>
      </c>
      <c r="D55" s="42">
        <v>8605842763</v>
      </c>
      <c r="E55" s="46" t="s">
        <v>89</v>
      </c>
      <c r="F55" s="44"/>
      <c r="G55" s="73"/>
    </row>
    <row r="56" spans="1:7" x14ac:dyDescent="0.25">
      <c r="A56" s="52" t="s">
        <v>63</v>
      </c>
      <c r="B56" s="43">
        <v>13</v>
      </c>
      <c r="C56" s="45" t="s">
        <v>24</v>
      </c>
      <c r="D56" s="42">
        <v>9850120341</v>
      </c>
      <c r="E56" s="43" t="s">
        <v>88</v>
      </c>
      <c r="F56" s="44"/>
      <c r="G56" s="73"/>
    </row>
    <row r="57" spans="1:7" x14ac:dyDescent="0.25">
      <c r="A57" s="52" t="s">
        <v>63</v>
      </c>
      <c r="B57" s="43">
        <v>14</v>
      </c>
      <c r="C57" s="45" t="s">
        <v>25</v>
      </c>
      <c r="D57" s="42">
        <v>9689616185</v>
      </c>
      <c r="E57" s="43" t="s">
        <v>88</v>
      </c>
      <c r="F57" s="44"/>
      <c r="G57" s="73"/>
    </row>
    <row r="58" spans="1:7" x14ac:dyDescent="0.25">
      <c r="A58" s="52" t="s">
        <v>63</v>
      </c>
      <c r="B58" s="43">
        <v>15</v>
      </c>
      <c r="C58" s="45" t="s">
        <v>26</v>
      </c>
      <c r="D58" s="42">
        <v>9552562770</v>
      </c>
      <c r="E58" s="43" t="s">
        <v>88</v>
      </c>
      <c r="F58" s="44"/>
      <c r="G58" s="73"/>
    </row>
    <row r="59" spans="1:7" ht="14.25" thickBot="1" x14ac:dyDescent="0.3">
      <c r="A59" s="53" t="s">
        <v>63</v>
      </c>
      <c r="B59" s="54">
        <v>16</v>
      </c>
      <c r="C59" s="55" t="s">
        <v>70</v>
      </c>
      <c r="D59" s="68">
        <v>9673917015</v>
      </c>
      <c r="E59" s="54" t="s">
        <v>88</v>
      </c>
      <c r="F59" s="56"/>
      <c r="G59" s="74"/>
    </row>
    <row r="60" spans="1:7" ht="14.25" thickBot="1" x14ac:dyDescent="0.3">
      <c r="A60" s="48" t="s">
        <v>64</v>
      </c>
      <c r="B60" s="49">
        <v>17</v>
      </c>
      <c r="C60" s="50" t="s">
        <v>27</v>
      </c>
      <c r="D60" s="67">
        <v>9850777848</v>
      </c>
      <c r="E60" s="49" t="s">
        <v>88</v>
      </c>
      <c r="F60" s="51"/>
      <c r="G60" s="72"/>
    </row>
    <row r="61" spans="1:7" x14ac:dyDescent="0.25">
      <c r="A61" s="52" t="s">
        <v>64</v>
      </c>
      <c r="B61" s="43">
        <v>18</v>
      </c>
      <c r="C61" s="45" t="s">
        <v>28</v>
      </c>
      <c r="D61" s="67">
        <v>9912847052</v>
      </c>
      <c r="E61" s="46" t="s">
        <v>89</v>
      </c>
      <c r="F61" s="44"/>
      <c r="G61" s="73"/>
    </row>
    <row r="62" spans="1:7" x14ac:dyDescent="0.25">
      <c r="A62" s="52" t="s">
        <v>64</v>
      </c>
      <c r="B62" s="43">
        <v>19</v>
      </c>
      <c r="C62" s="45" t="s">
        <v>71</v>
      </c>
      <c r="D62" s="42">
        <v>8888225704</v>
      </c>
      <c r="E62" s="43" t="s">
        <v>88</v>
      </c>
      <c r="F62" s="44"/>
      <c r="G62" s="73"/>
    </row>
    <row r="63" spans="1:7" x14ac:dyDescent="0.25">
      <c r="A63" s="52" t="s">
        <v>64</v>
      </c>
      <c r="B63" s="43">
        <v>20</v>
      </c>
      <c r="C63" s="45" t="s">
        <v>72</v>
      </c>
      <c r="D63" s="42">
        <v>9762020665</v>
      </c>
      <c r="E63" s="46" t="s">
        <v>89</v>
      </c>
      <c r="F63" s="44"/>
      <c r="G63" s="73"/>
    </row>
    <row r="64" spans="1:7" x14ac:dyDescent="0.25">
      <c r="A64" s="52" t="s">
        <v>64</v>
      </c>
      <c r="B64" s="43">
        <v>21</v>
      </c>
      <c r="C64" s="45" t="s">
        <v>162</v>
      </c>
      <c r="D64" s="42">
        <v>9096325164</v>
      </c>
      <c r="E64" s="43" t="s">
        <v>88</v>
      </c>
      <c r="F64" s="44"/>
      <c r="G64" s="73"/>
    </row>
    <row r="65" spans="1:7" x14ac:dyDescent="0.25">
      <c r="A65" s="52" t="s">
        <v>64</v>
      </c>
      <c r="B65" s="43">
        <v>22</v>
      </c>
      <c r="C65" s="45" t="s">
        <v>29</v>
      </c>
      <c r="D65" s="42">
        <v>9028658838</v>
      </c>
      <c r="E65" s="43" t="s">
        <v>88</v>
      </c>
      <c r="F65" s="44"/>
      <c r="G65" s="73"/>
    </row>
    <row r="66" spans="1:7" x14ac:dyDescent="0.25">
      <c r="A66" s="52" t="s">
        <v>64</v>
      </c>
      <c r="B66" s="43">
        <v>23</v>
      </c>
      <c r="C66" s="45" t="s">
        <v>30</v>
      </c>
      <c r="D66" s="42">
        <v>9850912318</v>
      </c>
      <c r="E66" s="43" t="s">
        <v>88</v>
      </c>
      <c r="F66" s="44"/>
      <c r="G66" s="73"/>
    </row>
    <row r="67" spans="1:7" x14ac:dyDescent="0.25">
      <c r="A67" s="52" t="s">
        <v>64</v>
      </c>
      <c r="B67" s="43">
        <v>24</v>
      </c>
      <c r="C67" s="45" t="s">
        <v>124</v>
      </c>
      <c r="D67" s="42">
        <v>9960288083</v>
      </c>
      <c r="E67" s="43" t="s">
        <v>88</v>
      </c>
      <c r="F67" s="44"/>
      <c r="G67" s="73"/>
    </row>
    <row r="68" spans="1:7" x14ac:dyDescent="0.25">
      <c r="A68" s="52" t="s">
        <v>64</v>
      </c>
      <c r="B68" s="43">
        <v>25</v>
      </c>
      <c r="C68" s="45" t="s">
        <v>31</v>
      </c>
      <c r="D68" s="42">
        <v>9552525987</v>
      </c>
      <c r="E68" s="43" t="s">
        <v>88</v>
      </c>
      <c r="F68" s="44"/>
      <c r="G68" s="73"/>
    </row>
    <row r="69" spans="1:7" x14ac:dyDescent="0.25">
      <c r="A69" s="52" t="s">
        <v>64</v>
      </c>
      <c r="B69" s="43">
        <v>26</v>
      </c>
      <c r="C69" s="45" t="s">
        <v>32</v>
      </c>
      <c r="D69" s="42">
        <v>8888880217</v>
      </c>
      <c r="E69" s="46" t="s">
        <v>89</v>
      </c>
      <c r="F69" s="44"/>
      <c r="G69" s="73"/>
    </row>
    <row r="70" spans="1:7" x14ac:dyDescent="0.25">
      <c r="A70" s="52" t="s">
        <v>64</v>
      </c>
      <c r="B70" s="43">
        <v>27</v>
      </c>
      <c r="C70" s="45" t="s">
        <v>51</v>
      </c>
      <c r="D70" s="42">
        <v>9372146169</v>
      </c>
      <c r="E70" s="43" t="s">
        <v>88</v>
      </c>
      <c r="F70" s="44"/>
      <c r="G70" s="73"/>
    </row>
    <row r="71" spans="1:7" x14ac:dyDescent="0.25">
      <c r="A71" s="52" t="s">
        <v>64</v>
      </c>
      <c r="B71" s="43">
        <v>28</v>
      </c>
      <c r="C71" s="45" t="s">
        <v>33</v>
      </c>
      <c r="D71" s="42">
        <v>9657869658</v>
      </c>
      <c r="E71" s="43" t="s">
        <v>88</v>
      </c>
      <c r="F71" s="44"/>
      <c r="G71" s="73"/>
    </row>
    <row r="72" spans="1:7" x14ac:dyDescent="0.25">
      <c r="A72" s="52" t="s">
        <v>64</v>
      </c>
      <c r="B72" s="43">
        <v>29</v>
      </c>
      <c r="C72" s="45" t="s">
        <v>34</v>
      </c>
      <c r="D72" s="42">
        <v>9545445577</v>
      </c>
      <c r="E72" s="43" t="s">
        <v>88</v>
      </c>
      <c r="F72" s="44"/>
      <c r="G72" s="73"/>
    </row>
    <row r="73" spans="1:7" x14ac:dyDescent="0.25">
      <c r="A73" s="52" t="s">
        <v>64</v>
      </c>
      <c r="B73" s="43">
        <v>30</v>
      </c>
      <c r="C73" s="45" t="s">
        <v>35</v>
      </c>
      <c r="D73" s="42">
        <v>9822843736</v>
      </c>
      <c r="E73" s="43" t="s">
        <v>88</v>
      </c>
      <c r="F73" s="44"/>
      <c r="G73" s="73"/>
    </row>
    <row r="74" spans="1:7" x14ac:dyDescent="0.25">
      <c r="A74" s="52" t="s">
        <v>64</v>
      </c>
      <c r="B74" s="43">
        <v>31</v>
      </c>
      <c r="C74" s="77" t="s">
        <v>99</v>
      </c>
      <c r="D74" s="65">
        <v>9860050325</v>
      </c>
      <c r="E74" s="46" t="s">
        <v>89</v>
      </c>
      <c r="F74" s="44"/>
      <c r="G74" s="73"/>
    </row>
    <row r="75" spans="1:7" ht="14.25" thickBot="1" x14ac:dyDescent="0.3">
      <c r="A75" s="53" t="s">
        <v>64</v>
      </c>
      <c r="B75" s="54">
        <v>32</v>
      </c>
      <c r="C75" s="55" t="s">
        <v>137</v>
      </c>
      <c r="D75" s="68">
        <v>7350543435</v>
      </c>
      <c r="E75" s="54" t="s">
        <v>88</v>
      </c>
      <c r="F75" s="56"/>
      <c r="G75" s="74"/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G12"/>
  <sheetViews>
    <sheetView workbookViewId="0">
      <selection activeCell="D11" sqref="D11"/>
    </sheetView>
  </sheetViews>
  <sheetFormatPr defaultRowHeight="15" x14ac:dyDescent="0.25"/>
  <cols>
    <col min="3" max="3" width="32.5703125" customWidth="1"/>
    <col min="4" max="4" width="15" customWidth="1"/>
  </cols>
  <sheetData>
    <row r="6" spans="2:7" ht="18.75" x14ac:dyDescent="0.3">
      <c r="B6" s="87" t="s">
        <v>0</v>
      </c>
      <c r="C6" s="87" t="s">
        <v>123</v>
      </c>
      <c r="D6" s="87" t="s">
        <v>122</v>
      </c>
    </row>
    <row r="7" spans="2:7" x14ac:dyDescent="0.25">
      <c r="B7" s="86">
        <v>1</v>
      </c>
      <c r="C7" s="85" t="s">
        <v>178</v>
      </c>
      <c r="D7" s="85">
        <v>163478</v>
      </c>
    </row>
    <row r="8" spans="2:7" x14ac:dyDescent="0.25">
      <c r="B8" s="86">
        <v>2</v>
      </c>
      <c r="C8" s="85" t="s">
        <v>179</v>
      </c>
      <c r="D8" s="85">
        <v>0</v>
      </c>
    </row>
    <row r="9" spans="2:7" x14ac:dyDescent="0.25">
      <c r="B9" s="86">
        <v>3</v>
      </c>
      <c r="C9" s="116" t="s">
        <v>135</v>
      </c>
      <c r="D9" s="116">
        <f>+'Monthwise maintenance'!DD87</f>
        <v>410405</v>
      </c>
    </row>
    <row r="10" spans="2:7" ht="15.75" x14ac:dyDescent="0.25">
      <c r="C10" s="88" t="s">
        <v>138</v>
      </c>
      <c r="D10" s="89">
        <f>SUM(D7:D9)</f>
        <v>573883</v>
      </c>
    </row>
    <row r="11" spans="2:7" x14ac:dyDescent="0.25">
      <c r="C11" s="115" t="s">
        <v>177</v>
      </c>
      <c r="D11" s="85">
        <f>16*5000</f>
        <v>80000</v>
      </c>
      <c r="G11" s="96"/>
    </row>
    <row r="12" spans="2:7" ht="15.75" x14ac:dyDescent="0.25">
      <c r="D12" s="117">
        <f>+D10+D11</f>
        <v>653883</v>
      </c>
    </row>
  </sheetData>
  <pageMargins left="0.7" right="0.7" top="0.75" bottom="0.75" header="0.3" footer="0.3"/>
  <pageSetup orientation="portrait" horizontalDpi="30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Monthwise maintenance</vt:lpstr>
      <vt:lpstr>Total List</vt:lpstr>
      <vt:lpstr>Sheet1</vt:lpstr>
      <vt:lpstr>'Monthwise maintenance'!Print_Area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User</cp:lastModifiedBy>
  <cp:lastPrinted>2024-09-24T07:02:39Z</cp:lastPrinted>
  <dcterms:created xsi:type="dcterms:W3CDTF">2012-08-12T06:08:23Z</dcterms:created>
  <dcterms:modified xsi:type="dcterms:W3CDTF">2025-06-19T11:32:44Z</dcterms:modified>
</cp:coreProperties>
</file>